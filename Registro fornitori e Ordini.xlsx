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cardo.dibiagio\Documents\"/>
    </mc:Choice>
  </mc:AlternateContent>
  <xr:revisionPtr revIDLastSave="0" documentId="8_{DC63D7A0-CD50-41FA-AA24-1D2278F3DF51}" xr6:coauthVersionLast="47" xr6:coauthVersionMax="47" xr10:uidLastSave="{00000000-0000-0000-0000-000000000000}"/>
  <bookViews>
    <workbookView xWindow="12135" yWindow="4365" windowWidth="21600" windowHeight="12525" tabRatio="947" activeTab="5" xr2:uid="{DA4B7F54-B6BE-40B8-ABD3-B727242D6FB5}"/>
  </bookViews>
  <sheets>
    <sheet name="ORDINI EVASI (3)" sheetId="13" r:id="rId1"/>
    <sheet name="CLASSE A (progettazione)" sheetId="6" r:id="rId2"/>
    <sheet name="CLASSE B (built to print)" sheetId="7" r:id="rId3"/>
    <sheet name="CLASSE C (coats)" sheetId="8" r:id="rId4"/>
    <sheet name="CLASSE D (distributori)" sheetId="9" r:id="rId5"/>
    <sheet name="CLASSE E (generali stabilimento" sheetId="10" r:id="rId6"/>
    <sheet name="NON UTILIZZATI (&gt;2 ANNI)" sheetId="11" r:id="rId7"/>
    <sheet name="SEPARAZIONE SHEET OLD" sheetId="12" r:id="rId8"/>
    <sheet name="ITEM E SERVIZI AL CLIENTE" sheetId="1" r:id="rId9"/>
    <sheet name="ITEM E SERVIZI INTERNI" sheetId="2" r:id="rId10"/>
    <sheet name="FORNITORI IN VALUTAZIONE" sheetId="4" r:id="rId11"/>
    <sheet name="STORICO" sheetId="3" r:id="rId12"/>
  </sheets>
  <externalReferences>
    <externalReference r:id="rId13"/>
  </externalReferences>
  <definedNames>
    <definedName name="_xlnm._FilterDatabase" localSheetId="10" hidden="1">'FORNITORI IN VALUTAZIONE'!$B$7:$I$7</definedName>
    <definedName name="_xlnm._FilterDatabase" localSheetId="8" hidden="1">'ITEM E SERVIZI AL CLIENTE'!$B$7:$I$7</definedName>
    <definedName name="_xlnm._FilterDatabase" localSheetId="9" hidden="1">'ITEM E SERVIZI INTERNI'!$B$6:$H$6</definedName>
    <definedName name="_xlnm._FilterDatabase" localSheetId="0" hidden="1">'ORDINI EVASI (3)'!$B$5:$Z$1419</definedName>
    <definedName name="_xlnm._FilterDatabase" localSheetId="11" hidden="1">STORICO!$B$7:$I$7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3" l="1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E23" i="13"/>
  <c r="E2" i="13" s="1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E134" i="13"/>
  <c r="F134" i="13" s="1"/>
  <c r="F135" i="13"/>
  <c r="F136" i="13"/>
  <c r="F137" i="13"/>
  <c r="E138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E204" i="13"/>
  <c r="F204" i="13" s="1"/>
  <c r="F205" i="13"/>
  <c r="F206" i="13"/>
  <c r="F207" i="13"/>
  <c r="E208" i="13"/>
  <c r="F208" i="13" s="1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E263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E368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E445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E570" i="13"/>
  <c r="F570" i="13"/>
  <c r="F571" i="13"/>
  <c r="F572" i="13"/>
  <c r="F573" i="13"/>
  <c r="F574" i="13"/>
  <c r="F575" i="13"/>
  <c r="F576" i="13"/>
  <c r="F577" i="13"/>
  <c r="E578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E625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F776" i="13"/>
  <c r="F777" i="13"/>
  <c r="F778" i="13"/>
  <c r="F779" i="13"/>
  <c r="F780" i="13"/>
  <c r="F781" i="13"/>
  <c r="F782" i="13"/>
  <c r="F783" i="13"/>
  <c r="F784" i="13"/>
  <c r="F785" i="13"/>
  <c r="F786" i="13"/>
  <c r="F787" i="13"/>
  <c r="F788" i="13"/>
  <c r="F789" i="13"/>
  <c r="F790" i="13"/>
  <c r="F791" i="13"/>
  <c r="F792" i="13"/>
  <c r="F793" i="13"/>
  <c r="F794" i="13"/>
  <c r="F795" i="13"/>
  <c r="F796" i="13"/>
  <c r="F797" i="13"/>
  <c r="F798" i="13"/>
  <c r="F799" i="13"/>
  <c r="F800" i="13"/>
  <c r="F801" i="13"/>
  <c r="F802" i="13"/>
  <c r="F803" i="13"/>
  <c r="F804" i="13"/>
  <c r="E805" i="13"/>
  <c r="F805" i="13"/>
  <c r="F806" i="13"/>
  <c r="F807" i="13"/>
  <c r="F808" i="13"/>
  <c r="F809" i="13"/>
  <c r="F810" i="13"/>
  <c r="F811" i="13"/>
  <c r="F812" i="13"/>
  <c r="F813" i="13"/>
  <c r="F814" i="13"/>
  <c r="E815" i="13"/>
  <c r="F815" i="13"/>
  <c r="F816" i="13"/>
  <c r="F817" i="13"/>
  <c r="F818" i="13"/>
  <c r="F819" i="13"/>
  <c r="F820" i="13"/>
  <c r="F821" i="13"/>
  <c r="F822" i="13"/>
  <c r="F823" i="13"/>
  <c r="F824" i="13"/>
  <c r="F825" i="13"/>
  <c r="F826" i="13"/>
  <c r="F827" i="13"/>
  <c r="F828" i="13"/>
  <c r="F829" i="13"/>
  <c r="F830" i="13"/>
  <c r="F831" i="13"/>
  <c r="F832" i="13"/>
  <c r="F833" i="13"/>
  <c r="F834" i="13"/>
  <c r="F835" i="13"/>
  <c r="F836" i="13"/>
  <c r="F837" i="13"/>
  <c r="F838" i="13"/>
  <c r="F839" i="13"/>
  <c r="F840" i="13"/>
  <c r="F841" i="13"/>
  <c r="F842" i="13"/>
  <c r="F843" i="13"/>
  <c r="F844" i="13"/>
  <c r="F845" i="13"/>
  <c r="F846" i="13"/>
  <c r="F847" i="13"/>
  <c r="F848" i="13"/>
  <c r="F849" i="13"/>
  <c r="F850" i="13"/>
  <c r="F851" i="13"/>
  <c r="F852" i="13"/>
  <c r="F853" i="13"/>
  <c r="F854" i="13"/>
  <c r="F855" i="13"/>
  <c r="F856" i="13"/>
  <c r="F857" i="13"/>
  <c r="F858" i="13"/>
  <c r="F859" i="13"/>
  <c r="F860" i="13"/>
  <c r="F861" i="13"/>
  <c r="F862" i="13"/>
  <c r="F863" i="13"/>
  <c r="F864" i="13"/>
  <c r="F865" i="13"/>
  <c r="F866" i="13"/>
  <c r="F867" i="13"/>
  <c r="F868" i="13"/>
  <c r="F869" i="13"/>
  <c r="F870" i="13"/>
  <c r="F871" i="13"/>
  <c r="F872" i="13"/>
  <c r="F873" i="13"/>
  <c r="F874" i="13"/>
  <c r="F875" i="13"/>
  <c r="F876" i="13"/>
  <c r="F877" i="13"/>
  <c r="F878" i="13"/>
  <c r="F879" i="13"/>
  <c r="F880" i="13"/>
  <c r="F881" i="13"/>
  <c r="F882" i="13"/>
  <c r="F883" i="13"/>
  <c r="F884" i="13"/>
  <c r="E885" i="13"/>
  <c r="F885" i="13" s="1"/>
  <c r="E886" i="13"/>
  <c r="F886" i="13"/>
  <c r="F887" i="13"/>
  <c r="F888" i="13"/>
  <c r="F889" i="13"/>
  <c r="F890" i="13"/>
  <c r="F891" i="13"/>
  <c r="F892" i="13"/>
  <c r="F893" i="13"/>
  <c r="F894" i="13"/>
  <c r="F895" i="13"/>
  <c r="F896" i="13"/>
  <c r="F897" i="13"/>
  <c r="F898" i="13"/>
  <c r="F899" i="13"/>
  <c r="F900" i="13"/>
  <c r="F901" i="13"/>
  <c r="F902" i="13"/>
  <c r="F903" i="13"/>
  <c r="F904" i="13"/>
  <c r="F905" i="13"/>
  <c r="F906" i="13"/>
  <c r="F907" i="13"/>
  <c r="F908" i="13"/>
  <c r="F909" i="13"/>
  <c r="F910" i="13"/>
  <c r="F911" i="13"/>
  <c r="F912" i="13"/>
  <c r="F913" i="13"/>
  <c r="F914" i="13"/>
  <c r="F915" i="13"/>
  <c r="F916" i="13"/>
  <c r="F917" i="13"/>
  <c r="F918" i="13"/>
  <c r="F919" i="13"/>
  <c r="F920" i="13"/>
  <c r="F921" i="13"/>
  <c r="F922" i="13"/>
  <c r="F923" i="13"/>
  <c r="F924" i="13"/>
  <c r="F925" i="13"/>
  <c r="F926" i="13"/>
  <c r="F927" i="13"/>
  <c r="F928" i="13"/>
  <c r="F929" i="13"/>
  <c r="F930" i="13"/>
  <c r="F931" i="13"/>
  <c r="F932" i="13"/>
  <c r="F933" i="13"/>
  <c r="F934" i="13"/>
  <c r="F935" i="13"/>
  <c r="F936" i="13"/>
  <c r="F937" i="13"/>
  <c r="F938" i="13"/>
  <c r="F939" i="13"/>
  <c r="F940" i="13"/>
  <c r="F941" i="13"/>
  <c r="F942" i="13"/>
  <c r="F943" i="13"/>
  <c r="F944" i="13"/>
  <c r="F945" i="13"/>
  <c r="F946" i="13"/>
  <c r="F947" i="13"/>
  <c r="F948" i="13"/>
  <c r="F949" i="13"/>
  <c r="F950" i="13"/>
  <c r="F951" i="13"/>
  <c r="F952" i="13"/>
  <c r="F953" i="13"/>
  <c r="F954" i="13"/>
  <c r="F955" i="13"/>
  <c r="F956" i="13"/>
  <c r="F957" i="13"/>
  <c r="F958" i="13"/>
  <c r="F959" i="13"/>
  <c r="F960" i="13"/>
  <c r="F961" i="13"/>
  <c r="F962" i="13"/>
  <c r="F963" i="13"/>
  <c r="F964" i="13"/>
  <c r="F965" i="13"/>
  <c r="F966" i="13"/>
  <c r="F967" i="13"/>
  <c r="F968" i="13"/>
  <c r="F969" i="13"/>
  <c r="F970" i="13"/>
  <c r="F971" i="13"/>
  <c r="F972" i="13"/>
  <c r="F973" i="13"/>
  <c r="F974" i="13"/>
  <c r="F975" i="13"/>
  <c r="F976" i="13"/>
  <c r="F977" i="13"/>
  <c r="F978" i="13"/>
  <c r="F979" i="13"/>
  <c r="F980" i="13"/>
  <c r="F981" i="13"/>
  <c r="F982" i="13"/>
  <c r="F983" i="13"/>
  <c r="F984" i="13"/>
  <c r="F985" i="13"/>
  <c r="F986" i="13"/>
  <c r="F987" i="13"/>
  <c r="F988" i="13"/>
  <c r="F989" i="13"/>
  <c r="F990" i="13"/>
  <c r="F991" i="13"/>
  <c r="F992" i="13"/>
  <c r="F993" i="13"/>
  <c r="F994" i="13"/>
  <c r="F995" i="13"/>
  <c r="F996" i="13"/>
  <c r="F997" i="13"/>
  <c r="F998" i="13"/>
  <c r="F999" i="13"/>
  <c r="F1000" i="13"/>
  <c r="F1001" i="13"/>
  <c r="F1002" i="13"/>
  <c r="F1003" i="13"/>
  <c r="F1004" i="13"/>
  <c r="F1005" i="13"/>
  <c r="F1006" i="13"/>
  <c r="F1007" i="13"/>
  <c r="F1008" i="13"/>
  <c r="F1009" i="13"/>
  <c r="F1010" i="13"/>
  <c r="F1011" i="13"/>
  <c r="F1012" i="13"/>
  <c r="F1013" i="13"/>
  <c r="F1014" i="13"/>
  <c r="F1015" i="13"/>
  <c r="F1016" i="13"/>
  <c r="F1017" i="13"/>
  <c r="F1018" i="13"/>
  <c r="F1019" i="13"/>
  <c r="F1020" i="13"/>
  <c r="F1021" i="13"/>
  <c r="F1022" i="13"/>
  <c r="F1023" i="13"/>
  <c r="F1024" i="13"/>
  <c r="F1025" i="13"/>
  <c r="F1026" i="13"/>
  <c r="F1027" i="13"/>
  <c r="F1028" i="13"/>
  <c r="F1029" i="13"/>
  <c r="F1030" i="13"/>
  <c r="F1031" i="13"/>
  <c r="F1032" i="13"/>
  <c r="F1033" i="13"/>
  <c r="F1034" i="13"/>
  <c r="F1035" i="13"/>
  <c r="F1036" i="13"/>
  <c r="F1037" i="13"/>
  <c r="F1038" i="13"/>
  <c r="F1039" i="13"/>
  <c r="F1040" i="13"/>
  <c r="F1041" i="13"/>
  <c r="F1042" i="13"/>
  <c r="F1043" i="13"/>
  <c r="F1044" i="13"/>
  <c r="F1045" i="13"/>
  <c r="F1046" i="13"/>
  <c r="F1047" i="13"/>
  <c r="F1048" i="13"/>
  <c r="F1049" i="13"/>
  <c r="F1050" i="13"/>
  <c r="F1051" i="13"/>
  <c r="F1052" i="13"/>
  <c r="F1053" i="13"/>
  <c r="F1054" i="13"/>
  <c r="F1055" i="13"/>
  <c r="F1056" i="13"/>
  <c r="F1057" i="13"/>
  <c r="F1058" i="13"/>
  <c r="F1059" i="13"/>
  <c r="F1060" i="13"/>
  <c r="F1061" i="13"/>
  <c r="F1062" i="13"/>
  <c r="F1063" i="13"/>
  <c r="F1064" i="13"/>
  <c r="F1065" i="13"/>
  <c r="F1066" i="13"/>
  <c r="F1067" i="13"/>
  <c r="E1068" i="13"/>
  <c r="F1068" i="13"/>
  <c r="F1069" i="13"/>
  <c r="F1070" i="13"/>
  <c r="F1071" i="13"/>
  <c r="F1072" i="13"/>
  <c r="E1073" i="13"/>
  <c r="F1073" i="13"/>
  <c r="F1074" i="13"/>
  <c r="F1075" i="13"/>
  <c r="F1076" i="13"/>
  <c r="F1077" i="13"/>
  <c r="F1078" i="13"/>
  <c r="F1079" i="13"/>
  <c r="F1080" i="13"/>
  <c r="F1081" i="13"/>
  <c r="F1082" i="13"/>
  <c r="F1083" i="13"/>
  <c r="F1084" i="13"/>
  <c r="F1085" i="13"/>
  <c r="F1086" i="13"/>
  <c r="F1087" i="13"/>
  <c r="F1088" i="13"/>
  <c r="F1089" i="13"/>
  <c r="F1090" i="13"/>
  <c r="F1091" i="13"/>
  <c r="F1092" i="13"/>
  <c r="F1093" i="13"/>
  <c r="F1094" i="13"/>
  <c r="F1095" i="13"/>
  <c r="F1096" i="13"/>
  <c r="F1097" i="13"/>
  <c r="F1098" i="13"/>
  <c r="F1099" i="13"/>
  <c r="F1100" i="13"/>
  <c r="F1101" i="13"/>
  <c r="F1102" i="13"/>
  <c r="F1103" i="13"/>
  <c r="F1104" i="13"/>
  <c r="F1105" i="13"/>
  <c r="F1106" i="13"/>
  <c r="F1107" i="13"/>
  <c r="F1108" i="13"/>
  <c r="F1109" i="13"/>
  <c r="F1110" i="13"/>
  <c r="F1111" i="13"/>
  <c r="F1112" i="13"/>
  <c r="F1113" i="13"/>
  <c r="F1114" i="13"/>
  <c r="F1115" i="13"/>
  <c r="F1116" i="13"/>
  <c r="F1117" i="13"/>
  <c r="F1118" i="13"/>
  <c r="F1119" i="13"/>
  <c r="F1120" i="13"/>
  <c r="F1121" i="13"/>
  <c r="F1122" i="13"/>
  <c r="F1123" i="13"/>
  <c r="F1124" i="13"/>
  <c r="F1125" i="13"/>
  <c r="F1126" i="13"/>
  <c r="F1127" i="13"/>
  <c r="F1128" i="13"/>
  <c r="F1129" i="13"/>
  <c r="F1130" i="13"/>
  <c r="F1131" i="13"/>
  <c r="F1132" i="13"/>
  <c r="F1133" i="13"/>
  <c r="F1134" i="13"/>
  <c r="F1135" i="13"/>
  <c r="F1136" i="13"/>
  <c r="F1137" i="13"/>
  <c r="F1138" i="13"/>
  <c r="F1139" i="13"/>
  <c r="F1140" i="13"/>
  <c r="F1141" i="13"/>
  <c r="F1142" i="13"/>
  <c r="F1143" i="13"/>
  <c r="F1144" i="13"/>
  <c r="F1145" i="13"/>
  <c r="F1146" i="13"/>
  <c r="F1147" i="13"/>
  <c r="F1148" i="13"/>
  <c r="F1149" i="13"/>
  <c r="F1150" i="13"/>
  <c r="F1151" i="13"/>
  <c r="F1152" i="13"/>
  <c r="F1153" i="13"/>
  <c r="F1154" i="13"/>
  <c r="F1155" i="13"/>
  <c r="F1156" i="13"/>
  <c r="F1157" i="13"/>
  <c r="F1158" i="13"/>
  <c r="F1159" i="13"/>
  <c r="F1160" i="13"/>
  <c r="F1161" i="13"/>
  <c r="F1162" i="13"/>
  <c r="F1163" i="13"/>
  <c r="F1164" i="13"/>
  <c r="F1165" i="13"/>
  <c r="F1166" i="13"/>
  <c r="F1167" i="13"/>
  <c r="F1168" i="13"/>
  <c r="F1169" i="13"/>
  <c r="F1170" i="13"/>
  <c r="F1171" i="13"/>
  <c r="F1172" i="13"/>
  <c r="F1173" i="13"/>
  <c r="F1174" i="13"/>
  <c r="F1175" i="13"/>
  <c r="F1176" i="13"/>
  <c r="F1177" i="13"/>
  <c r="F1178" i="13"/>
  <c r="F1179" i="13"/>
  <c r="F1180" i="13"/>
  <c r="F1181" i="13"/>
  <c r="F1182" i="13"/>
  <c r="F1183" i="13"/>
  <c r="F1184" i="13"/>
  <c r="F1185" i="13"/>
  <c r="F1186" i="13"/>
  <c r="F1187" i="13"/>
  <c r="F1188" i="13"/>
  <c r="F1189" i="13"/>
  <c r="F1190" i="13"/>
  <c r="F1191" i="13"/>
  <c r="F1192" i="13"/>
  <c r="F1193" i="13"/>
  <c r="F1194" i="13"/>
  <c r="F1195" i="13"/>
  <c r="F1196" i="13"/>
  <c r="F1197" i="13"/>
  <c r="F1198" i="13"/>
  <c r="F1199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F1222" i="13"/>
  <c r="F1223" i="13"/>
  <c r="F1224" i="13"/>
  <c r="F1225" i="13"/>
  <c r="F1226" i="13"/>
  <c r="F1227" i="13"/>
  <c r="F1228" i="13"/>
  <c r="F1229" i="13"/>
  <c r="F1230" i="13"/>
  <c r="F1231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F1243" i="13"/>
  <c r="F1244" i="13"/>
  <c r="F1245" i="13"/>
  <c r="F1246" i="13"/>
  <c r="F1247" i="13"/>
  <c r="F1248" i="13"/>
  <c r="F1249" i="13"/>
  <c r="F1250" i="13"/>
  <c r="F1251" i="13"/>
  <c r="F1252" i="13"/>
  <c r="F1253" i="13"/>
  <c r="F1254" i="13"/>
  <c r="F1255" i="13"/>
  <c r="F1256" i="13"/>
  <c r="F1257" i="13"/>
  <c r="F1258" i="13"/>
  <c r="F1259" i="13"/>
  <c r="F1260" i="13"/>
  <c r="F1261" i="13"/>
  <c r="F1262" i="13"/>
  <c r="F1263" i="13"/>
  <c r="F1264" i="13"/>
  <c r="E1265" i="13"/>
  <c r="F1265" i="13" s="1"/>
  <c r="E1266" i="13"/>
  <c r="F1266" i="13" s="1"/>
  <c r="F1267" i="13"/>
  <c r="F1268" i="13"/>
  <c r="F1269" i="13"/>
  <c r="F1270" i="13"/>
  <c r="F1271" i="13"/>
  <c r="F1272" i="13"/>
  <c r="F1273" i="13"/>
  <c r="F1274" i="13"/>
  <c r="F1275" i="13"/>
  <c r="F1276" i="13"/>
  <c r="F1277" i="13"/>
  <c r="F1278" i="13"/>
  <c r="F1279" i="13"/>
  <c r="F1280" i="13"/>
  <c r="F1281" i="13"/>
  <c r="F1282" i="13"/>
  <c r="F1283" i="13"/>
  <c r="F1284" i="13"/>
  <c r="F1285" i="13"/>
  <c r="F1286" i="13"/>
  <c r="F1287" i="13"/>
  <c r="F1288" i="13"/>
  <c r="F1289" i="13"/>
  <c r="F1290" i="13"/>
  <c r="F1291" i="13"/>
  <c r="F1292" i="13"/>
  <c r="F1293" i="13"/>
  <c r="F1294" i="13"/>
  <c r="F1295" i="13"/>
  <c r="F1296" i="13"/>
  <c r="F1297" i="13"/>
  <c r="F1298" i="13"/>
  <c r="F1299" i="13"/>
  <c r="F1300" i="13"/>
  <c r="F1301" i="13"/>
  <c r="F1302" i="13"/>
  <c r="F1303" i="13"/>
  <c r="F1304" i="13"/>
  <c r="F1305" i="13"/>
  <c r="F1306" i="13"/>
  <c r="F1307" i="13"/>
  <c r="F1308" i="13"/>
  <c r="F1309" i="13"/>
  <c r="F1310" i="13"/>
  <c r="F1311" i="13"/>
  <c r="F1312" i="13"/>
  <c r="F1313" i="13"/>
  <c r="F1314" i="13"/>
  <c r="F1315" i="13"/>
  <c r="F1316" i="13"/>
  <c r="F1317" i="13"/>
  <c r="F1318" i="13"/>
  <c r="E1319" i="13"/>
  <c r="F1319" i="13" s="1"/>
  <c r="F1320" i="13"/>
  <c r="F1321" i="13"/>
  <c r="E1322" i="13"/>
  <c r="F1322" i="13" s="1"/>
  <c r="F1323" i="13"/>
  <c r="F1324" i="13"/>
  <c r="F1325" i="13"/>
  <c r="F1326" i="13"/>
  <c r="F1327" i="13"/>
  <c r="F1328" i="13"/>
  <c r="F1329" i="13"/>
  <c r="F1330" i="13"/>
  <c r="F1331" i="13"/>
  <c r="F1332" i="13"/>
  <c r="F1333" i="13"/>
  <c r="F1334" i="13"/>
  <c r="F1335" i="13"/>
  <c r="F1336" i="13"/>
  <c r="E1337" i="13"/>
  <c r="F1337" i="13"/>
  <c r="E1338" i="13"/>
  <c r="F1338" i="13" s="1"/>
  <c r="F1340" i="13"/>
  <c r="F1341" i="13"/>
  <c r="F1342" i="13"/>
  <c r="E1343" i="13"/>
  <c r="F1343" i="13"/>
  <c r="F1344" i="13"/>
  <c r="F1345" i="13"/>
  <c r="F1346" i="13"/>
  <c r="F1347" i="13"/>
  <c r="E1348" i="13"/>
  <c r="F1348" i="13"/>
  <c r="F1349" i="13"/>
  <c r="F1350" i="13"/>
  <c r="F1351" i="13"/>
  <c r="F1352" i="13"/>
  <c r="F1353" i="13"/>
  <c r="F1354" i="13"/>
  <c r="F1355" i="13"/>
  <c r="F1356" i="13"/>
  <c r="F1357" i="13"/>
  <c r="F1359" i="13"/>
  <c r="F1360" i="13"/>
  <c r="F1361" i="13"/>
  <c r="F1362" i="13"/>
  <c r="F1363" i="13"/>
  <c r="F1364" i="13"/>
  <c r="F1365" i="13"/>
  <c r="F1366" i="13"/>
  <c r="F1367" i="13"/>
  <c r="F1368" i="13"/>
  <c r="F1369" i="13"/>
  <c r="F1370" i="13"/>
  <c r="F1371" i="13"/>
  <c r="F1372" i="13"/>
  <c r="F1373" i="13"/>
  <c r="F1374" i="13"/>
  <c r="F1375" i="13"/>
  <c r="F1376" i="13"/>
  <c r="F1377" i="13"/>
  <c r="F1378" i="13"/>
  <c r="F1379" i="13"/>
  <c r="F1380" i="13"/>
  <c r="F1381" i="13"/>
  <c r="F1382" i="13"/>
  <c r="F1383" i="13"/>
  <c r="F1384" i="13"/>
  <c r="F1385" i="13"/>
  <c r="F1386" i="13"/>
  <c r="F1387" i="13"/>
  <c r="F1388" i="13"/>
  <c r="F1389" i="13"/>
  <c r="F1390" i="13"/>
  <c r="F1391" i="13"/>
  <c r="F1392" i="13"/>
  <c r="F1393" i="13"/>
  <c r="F1394" i="13"/>
  <c r="F1395" i="13"/>
  <c r="F1396" i="13"/>
  <c r="F1397" i="13"/>
  <c r="F1398" i="13"/>
  <c r="F1399" i="13"/>
  <c r="F1400" i="13"/>
  <c r="F1401" i="13"/>
  <c r="F1402" i="13"/>
  <c r="F1403" i="13"/>
  <c r="F1404" i="13"/>
  <c r="F1405" i="13"/>
  <c r="F1406" i="13"/>
  <c r="F1407" i="13"/>
  <c r="F1408" i="13"/>
  <c r="F1409" i="13"/>
  <c r="F1410" i="13"/>
  <c r="F1411" i="13"/>
  <c r="F1412" i="13"/>
  <c r="F1413" i="13"/>
  <c r="F1414" i="13"/>
  <c r="F1415" i="13"/>
  <c r="F1416" i="13"/>
  <c r="F1417" i="13"/>
  <c r="F1418" i="13"/>
  <c r="F1419" i="13"/>
  <c r="F2" i="13" l="1"/>
  <c r="F2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spart</author>
  </authors>
  <commentList>
    <comment ref="E7" authorId="0" shapeId="0" xr:uid="{6213810A-D236-4176-A874-594F2C173115}">
      <text>
        <r>
          <rPr>
            <b/>
            <sz val="9"/>
            <color indexed="81"/>
            <rFont val="Tahoma"/>
            <family val="2"/>
          </rPr>
          <t>TIPO:
- SUBFORNITORE a disegno
- FORNITORE a catalogo (componenti o parti)
- FORNITORE a specifica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 xr:uid="{70D56D67-4898-438D-9EF6-6B3FDAC01234}">
      <text>
        <r>
          <rPr>
            <b/>
            <sz val="9"/>
            <color indexed="81"/>
            <rFont val="Tahoma"/>
            <family val="2"/>
          </rPr>
          <t xml:space="preserve">CERTIFICAZIONE:
</t>
        </r>
        <r>
          <rPr>
            <sz val="9"/>
            <color indexed="81"/>
            <rFont val="Tahoma"/>
            <family val="2"/>
          </rPr>
          <t xml:space="preserve">
- ISO 9001:2015
- EN 9100:2018
- EN 9110:2018
- EN 9120:2018
- AQAP 2110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spart</author>
  </authors>
  <commentList>
    <comment ref="E7" authorId="0" shapeId="0" xr:uid="{BC08B6F6-CB32-4546-966C-E6FC8B19787C}">
      <text>
        <r>
          <rPr>
            <b/>
            <sz val="9"/>
            <color indexed="81"/>
            <rFont val="Tahoma"/>
            <family val="2"/>
          </rPr>
          <t>TIPO:
- SUBFORNITORE a disegno
- FORNITORE a catalogo (componenti o parti)
- FORNITORE a specifica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 xr:uid="{47F0D970-C0B1-4932-B1D0-FBB2E5AB617D}">
      <text>
        <r>
          <rPr>
            <b/>
            <sz val="9"/>
            <color indexed="81"/>
            <rFont val="Tahoma"/>
            <family val="2"/>
          </rPr>
          <t xml:space="preserve">CERTIFICAZIONE:
</t>
        </r>
        <r>
          <rPr>
            <sz val="9"/>
            <color indexed="81"/>
            <rFont val="Tahoma"/>
            <family val="2"/>
          </rPr>
          <t xml:space="preserve">
- ISO 9001:2015
- EN 9100:2018
- EN 9110:2018
- EN 9120:2018
- AQAP 2110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spart</author>
  </authors>
  <commentList>
    <comment ref="E7" authorId="0" shapeId="0" xr:uid="{18C3635D-BDE8-4860-B5ED-33B610D91544}">
      <text>
        <r>
          <rPr>
            <b/>
            <sz val="9"/>
            <color indexed="81"/>
            <rFont val="Tahoma"/>
            <family val="2"/>
          </rPr>
          <t>TIPO:
- SUBFORNITORE a disegno
- FORNITORE a catalogo (componenti o parti)
- FORNITORE a specifica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 xr:uid="{C768E008-9F26-4F9C-B8DC-7D8DDFF5FE77}">
      <text>
        <r>
          <rPr>
            <b/>
            <sz val="9"/>
            <color indexed="81"/>
            <rFont val="Tahoma"/>
            <family val="2"/>
          </rPr>
          <t xml:space="preserve">CERTIFICAZIONE:
</t>
        </r>
        <r>
          <rPr>
            <sz val="9"/>
            <color indexed="81"/>
            <rFont val="Tahoma"/>
            <family val="2"/>
          </rPr>
          <t xml:space="preserve">
- ISO 9001:2015
- EN 9100:2018
- EN 9110:2018
- EN 9120:2018
- AQAP 2110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spart</author>
  </authors>
  <commentList>
    <comment ref="E7" authorId="0" shapeId="0" xr:uid="{15E65801-1DCE-4CFA-A4EF-3D25FEB058C2}">
      <text>
        <r>
          <rPr>
            <b/>
            <sz val="9"/>
            <color indexed="81"/>
            <rFont val="Tahoma"/>
            <family val="2"/>
          </rPr>
          <t>TIPO:
- SUBFORNITORE a disegno
- FORNITORE a catalogo (componenti o parti)
- FORNITORE a specifica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 xr:uid="{62711583-2147-4C14-9646-440B8F4A6064}">
      <text>
        <r>
          <rPr>
            <b/>
            <sz val="9"/>
            <color indexed="81"/>
            <rFont val="Tahoma"/>
            <family val="2"/>
          </rPr>
          <t xml:space="preserve">CERTIFICAZIONE:
</t>
        </r>
        <r>
          <rPr>
            <sz val="9"/>
            <color indexed="81"/>
            <rFont val="Tahoma"/>
            <family val="2"/>
          </rPr>
          <t xml:space="preserve">
- ISO 9001:2015
- EN 9100:2018
- EN 9110:2018
- EN 9120:2018
- AQAP 2110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spart</author>
  </authors>
  <commentList>
    <comment ref="E7" authorId="0" shapeId="0" xr:uid="{CE204407-C08B-4CC2-80ED-C329B763451D}">
      <text>
        <r>
          <rPr>
            <b/>
            <sz val="9"/>
            <color indexed="81"/>
            <rFont val="Tahoma"/>
            <family val="2"/>
          </rPr>
          <t>TIPO:
- SUBFORNITORE a disegno
- FORNITORE a catalogo (componenti o parti)
- FORNITORE a specifica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 xr:uid="{8B0586ED-759A-43B6-A746-0A07E5FF8FA4}">
      <text>
        <r>
          <rPr>
            <b/>
            <sz val="9"/>
            <color indexed="81"/>
            <rFont val="Tahoma"/>
            <family val="2"/>
          </rPr>
          <t xml:space="preserve">CERTIFICAZIONE:
</t>
        </r>
        <r>
          <rPr>
            <sz val="9"/>
            <color indexed="81"/>
            <rFont val="Tahoma"/>
            <family val="2"/>
          </rPr>
          <t xml:space="preserve">
- ISO 9001:2015
- EN 9100:2018
- EN 9110:2018
- EN 9120:2018
- AQAP 2110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spart</author>
  </authors>
  <commentList>
    <comment ref="E7" authorId="0" shapeId="0" xr:uid="{1752C212-D839-439D-BF55-91B86230BE6B}">
      <text>
        <r>
          <rPr>
            <b/>
            <sz val="9"/>
            <color indexed="81"/>
            <rFont val="Tahoma"/>
            <family val="2"/>
          </rPr>
          <t>TIPO:
- SUBFORNITORE a disegno
- FORNITORE a catalogo (componenti o parti)
- FORNITORE a specifica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 xr:uid="{E4A5A945-4D03-40B8-B9AA-585B9D880DA0}">
      <text>
        <r>
          <rPr>
            <b/>
            <sz val="9"/>
            <color indexed="81"/>
            <rFont val="Tahoma"/>
            <family val="2"/>
          </rPr>
          <t xml:space="preserve">CERTIFICAZIONE:
</t>
        </r>
        <r>
          <rPr>
            <sz val="9"/>
            <color indexed="81"/>
            <rFont val="Tahoma"/>
            <family val="2"/>
          </rPr>
          <t xml:space="preserve">
- ISO 9001:2015
- EN 9100:2018
- EN 9110:2018
- EN 9120:2018
- AQAP 2110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spart</author>
  </authors>
  <commentList>
    <comment ref="E7" authorId="0" shapeId="0" xr:uid="{35F9AACA-3C92-4169-8317-1FCA54454EB9}">
      <text>
        <r>
          <rPr>
            <b/>
            <sz val="9"/>
            <color indexed="81"/>
            <rFont val="Tahoma"/>
            <family val="2"/>
          </rPr>
          <t>TIPO:
- SUBFORNITORE a disegno
- FORNITORE a catalogo (componenti o parti)
- FORNITORE a specifica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 xr:uid="{896C8C05-662D-4F3E-8FDB-290E51F9D31E}">
      <text>
        <r>
          <rPr>
            <b/>
            <sz val="9"/>
            <color indexed="81"/>
            <rFont val="Tahoma"/>
            <family val="2"/>
          </rPr>
          <t xml:space="preserve">CERTIFICAZIONE:
</t>
        </r>
        <r>
          <rPr>
            <sz val="9"/>
            <color indexed="81"/>
            <rFont val="Tahoma"/>
            <family val="2"/>
          </rPr>
          <t xml:space="preserve">
- ISO 9001:2015
- EN 9100:2018
- EN 9110:2018
- EN 9120:2018
- AQAP 2110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spart</author>
  </authors>
  <commentList>
    <comment ref="D6" authorId="0" shapeId="0" xr:uid="{42A8BF01-2C2E-42DA-9BEE-1253E4FB78F9}">
      <text>
        <r>
          <rPr>
            <b/>
            <sz val="9"/>
            <color indexed="81"/>
            <rFont val="Tahoma"/>
            <family val="2"/>
          </rPr>
          <t>TIPO:
- SUBFORNITORE a disegno
- FORNITORE a catalogo (componenti o parti)
- FORNITORE a specifica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" authorId="0" shapeId="0" xr:uid="{609FD68B-F8AF-4FA3-B9CB-B96983AC585B}">
      <text>
        <r>
          <rPr>
            <b/>
            <sz val="9"/>
            <color indexed="81"/>
            <rFont val="Tahoma"/>
            <family val="2"/>
          </rPr>
          <t xml:space="preserve">CERTIFICAZIONE:
</t>
        </r>
        <r>
          <rPr>
            <sz val="9"/>
            <color indexed="81"/>
            <rFont val="Tahoma"/>
            <family val="2"/>
          </rPr>
          <t xml:space="preserve">
- ISO 9001:2015
- EN 9100:2018
- EN 9110:2018
- EN 9120:2018
- AQAP 2110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spart</author>
  </authors>
  <commentList>
    <comment ref="E7" authorId="0" shapeId="0" xr:uid="{5A01B528-937B-45F2-A209-B5DD9D20569E}">
      <text>
        <r>
          <rPr>
            <b/>
            <sz val="9"/>
            <color indexed="81"/>
            <rFont val="Tahoma"/>
            <family val="2"/>
          </rPr>
          <t>TIPO:
- SUBFORNITORE a disegno
- FORNITORE a catalogo (componenti o parti)
- FORNITORE a specifica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 xr:uid="{DEAE11B3-95BA-4E6F-A393-F3596459A635}">
      <text>
        <r>
          <rPr>
            <b/>
            <sz val="9"/>
            <color indexed="81"/>
            <rFont val="Tahoma"/>
            <family val="2"/>
          </rPr>
          <t xml:space="preserve">CERTIFICAZIONE:
</t>
        </r>
        <r>
          <rPr>
            <sz val="9"/>
            <color indexed="81"/>
            <rFont val="Tahoma"/>
            <family val="2"/>
          </rPr>
          <t xml:space="preserve">
- ISO 9001:2015
- EN 9100:2018
- EN 9110:2018
- EN 9120:2018
- AQAP 2110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spart</author>
  </authors>
  <commentList>
    <comment ref="E7" authorId="0" shapeId="0" xr:uid="{70978FF1-87EA-4BA2-9C38-2B101A90E0FD}">
      <text>
        <r>
          <rPr>
            <b/>
            <sz val="9"/>
            <color indexed="81"/>
            <rFont val="Tahoma"/>
            <family val="2"/>
          </rPr>
          <t>TIPO:
- SUBFORNITORE a disegno
- FORNITORE a catalogo (componenti o parti)
- FORNITORE a specifica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 xr:uid="{50ACE214-5058-432F-A4A0-5DB6F0949B8A}">
      <text>
        <r>
          <rPr>
            <b/>
            <sz val="9"/>
            <color indexed="81"/>
            <rFont val="Tahoma"/>
            <family val="2"/>
          </rPr>
          <t xml:space="preserve">CERTIFICAZIONE:
</t>
        </r>
        <r>
          <rPr>
            <sz val="9"/>
            <color indexed="81"/>
            <rFont val="Tahoma"/>
            <family val="2"/>
          </rPr>
          <t xml:space="preserve">
- ISO 9001:2015
- EN 9100:2018
- EN 9110:2018
- EN 9120:2018
- AQAP 2110</t>
        </r>
      </text>
    </comment>
  </commentList>
</comments>
</file>

<file path=xl/sharedStrings.xml><?xml version="1.0" encoding="utf-8"?>
<sst xmlns="http://schemas.openxmlformats.org/spreadsheetml/2006/main" count="6325" uniqueCount="965">
  <si>
    <t>RAGIONE SOCIALE</t>
  </si>
  <si>
    <t>TIPO</t>
  </si>
  <si>
    <t>AMBITO DI FORNITURA</t>
  </si>
  <si>
    <t>CERTIFICAZIONE</t>
  </si>
  <si>
    <t>NOTE</t>
  </si>
  <si>
    <t>DISTRIBUTORE UFFICIALE O BROKER</t>
  </si>
  <si>
    <t>BRUNETTI  &amp; FIGLIO S.N.C.</t>
  </si>
  <si>
    <t>PROCESSI DI VERNICIATURA TRATTAMENTI GALVANICI</t>
  </si>
  <si>
    <t>SUBFORNITORE</t>
  </si>
  <si>
    <t>CIRCUITI STAMPATI  S.R.L.</t>
  </si>
  <si>
    <t>CIRCUITI STAMPATI MULTISTRATO RIGIDI E PER APPLICAZIONI MICROONDE</t>
  </si>
  <si>
    <t>D &amp; P Electronic Systems Srl</t>
  </si>
  <si>
    <t>FORNITORE A SPECIFICA</t>
  </si>
  <si>
    <t>PROGETTAZIONE HW/SW, SVILUPPO DOCUMENTAZIONE E FORNITURA SCHEDE DIGITALI</t>
  </si>
  <si>
    <t>W.L. GORE &amp; ASSOCIATES (UK) LTD</t>
  </si>
  <si>
    <t>FORNITORE A CATALOGO</t>
  </si>
  <si>
    <t xml:space="preserve">PROGETTAZIONE, SVILUPPO E PRODUZIONE DI GUARNIZIONI E CAVI </t>
  </si>
  <si>
    <t>TTI ITALY Srl</t>
  </si>
  <si>
    <t>DISTRIBUTORE</t>
  </si>
  <si>
    <t>TRANS-PART SRL</t>
  </si>
  <si>
    <t>BROKER</t>
  </si>
  <si>
    <t>KPI
QUALITA'</t>
  </si>
  <si>
    <t>KPI
TEMPI</t>
  </si>
  <si>
    <t>MOUSER</t>
  </si>
  <si>
    <t>DIGI-KEY</t>
  </si>
  <si>
    <t>TECNO 77</t>
  </si>
  <si>
    <t>SHENZEN JINSHENGDA ELECTRONIC &amp; TECH CO.</t>
  </si>
  <si>
    <t>CONTRADATA</t>
  </si>
  <si>
    <t>COSTRUTTORE</t>
  </si>
  <si>
    <t>DISTRIBUTORE VITERIA</t>
  </si>
  <si>
    <t>MATERIALI MECCANICI</t>
  </si>
  <si>
    <t>CONNETTORI</t>
  </si>
  <si>
    <t>COMPONENTI MECCANICI DI PRECISIONE</t>
  </si>
  <si>
    <t>COMPONENTI ELETTRONICI</t>
  </si>
  <si>
    <t>SERIGRAFIA</t>
  </si>
  <si>
    <t>COSTRUTTORE CIRCUITI STAMPATI</t>
  </si>
  <si>
    <t>CABLAGGI</t>
  </si>
  <si>
    <t>Master per circuiti stampati
Assemblaggio schede</t>
  </si>
  <si>
    <t>VERNICIATURA</t>
  </si>
  <si>
    <t>PC INDUSTRIALI</t>
  </si>
  <si>
    <t>LUMITRON</t>
  </si>
  <si>
    <t>GENERON SPA</t>
  </si>
  <si>
    <t>STRUMENTAZIONI</t>
  </si>
  <si>
    <t xml:space="preserve">COSTRUTTORE </t>
  </si>
  <si>
    <t>LED</t>
  </si>
  <si>
    <t>PRODUTTORE</t>
  </si>
  <si>
    <t>Forniture Industriali per Elettronica</t>
  </si>
  <si>
    <t xml:space="preserve">LAVORAZIONI MECCANICHE </t>
  </si>
  <si>
    <t>IPP</t>
  </si>
  <si>
    <t>DISTRIBUTORI</t>
  </si>
  <si>
    <t>CIRCUITI STAMPATI MULTISTRATO RIGIDI
E PER APPLICAZIONI MICROONDE</t>
  </si>
  <si>
    <t>TRATTAMENTI GALVANICI</t>
  </si>
  <si>
    <t>GALVANICA ITALIA S.R.L.</t>
  </si>
  <si>
    <t>MECCANICA INNOVATIVA S.R.L.</t>
  </si>
  <si>
    <t>LAMINE SERIGRAFICHE</t>
  </si>
  <si>
    <t>EL.TREV. S.R.L.</t>
  </si>
  <si>
    <t>MONTAGGIO SCHEDE ELETTRONICHE</t>
  </si>
  <si>
    <t>ELCO S.P.A.</t>
  </si>
  <si>
    <t>FARNELL ITALIA S.R.L.</t>
  </si>
  <si>
    <t>DISTRELEC ITALIA S.R.L.</t>
  </si>
  <si>
    <t>NICOMATIC SA</t>
  </si>
  <si>
    <t>MILEXIA ITALIA S.P.A.</t>
  </si>
  <si>
    <t>SERVOTECNICA S.P.A.</t>
  </si>
  <si>
    <t>P.F. ELETTRONICA S.N.C.</t>
  </si>
  <si>
    <t>BOSSARD ITALIA S.R.L.</t>
  </si>
  <si>
    <t>OFFICINE LAMERA S.R.L.</t>
  </si>
  <si>
    <t>TECNOMILL S.R.L.</t>
  </si>
  <si>
    <t>MITOR SYSTEM S.R.L.</t>
  </si>
  <si>
    <t>A. PONTECORVO S.P.A.</t>
  </si>
  <si>
    <t>ALANTYS TECHNOLOGY</t>
  </si>
  <si>
    <t>AFAR S.R.L.</t>
  </si>
  <si>
    <t>METATRON S.R.L.</t>
  </si>
  <si>
    <t>ELETTRONICA  SRLS</t>
  </si>
  <si>
    <t>F.LLI GUERRERO S.R.L.</t>
  </si>
  <si>
    <t>ABIS CIRCUITS CO. LIMITED</t>
  </si>
  <si>
    <t>ELMACOM S.R.L.</t>
  </si>
  <si>
    <t>ASSELTECH S.R.L.</t>
  </si>
  <si>
    <t>TEKCELEO</t>
  </si>
  <si>
    <t>ANGELANTONI TEST TECHNOLOGIES S.R.L.</t>
  </si>
  <si>
    <t>CABIOTEC S.R.L.</t>
  </si>
  <si>
    <t>MISUMI EUROPA GMBH</t>
  </si>
  <si>
    <t>CE.CA.SA. S.R.L.</t>
  </si>
  <si>
    <t>LA NUOVA EUROGALV S.R.L.</t>
  </si>
  <si>
    <t>PROVAL SERVICE S.R.L.</t>
  </si>
  <si>
    <t>RS COMPONENTS S.R.L.</t>
  </si>
  <si>
    <t>Materiali di consumo per il montaggio superficiale (SMT)
e tradizionale di schede elettroniche.</t>
  </si>
  <si>
    <t>CERTIFICAZIONI</t>
  </si>
  <si>
    <t>ISO 9001:2015</t>
  </si>
  <si>
    <t>EN 9120-2018 / ISO 9001:2015</t>
  </si>
  <si>
    <t>ISO 9001-2015 / AS9100D</t>
  </si>
  <si>
    <t>ISO 9001:2015 / EN 9100:2018</t>
  </si>
  <si>
    <t>ISO 9001:2015 / EN 9120:2018</t>
  </si>
  <si>
    <t xml:space="preserve">CML F.LLI LIBERATI SRL </t>
  </si>
  <si>
    <t>INVIO CGA</t>
  </si>
  <si>
    <t>ACCETTAZIONE</t>
  </si>
  <si>
    <t>NON ACCETTAZIONE</t>
  </si>
  <si>
    <t>SI</t>
  </si>
  <si>
    <t xml:space="preserve">MAGI srl </t>
  </si>
  <si>
    <t>Certificato disponibile</t>
  </si>
  <si>
    <t>Certificazione verificata di web</t>
  </si>
  <si>
    <t>Certificazione verificata Accredia</t>
  </si>
  <si>
    <t>ISO 9001:2015 - certificato n. 60506</t>
  </si>
  <si>
    <t>ISO 9001:2015 - certificato n. 1280</t>
  </si>
  <si>
    <t>ISO 9001:2015 - certificato n. IT312812</t>
  </si>
  <si>
    <t>ISO 9001:2015 - certificato n. 12963</t>
  </si>
  <si>
    <t>AS9100D / ISO 9001_2015</t>
  </si>
  <si>
    <t>ISO 9001:2015 -  n.CERT-08364-2001-AQ-ROM-SINCERT</t>
  </si>
  <si>
    <t>ISO 9001:2015 - n.CERT-17841-2006-AQ-BOL</t>
  </si>
  <si>
    <t>PARIANI S.R.L.</t>
  </si>
  <si>
    <t>EDMUND OPTICS LTD</t>
  </si>
  <si>
    <t>SOLYNX CORPORATION</t>
  </si>
  <si>
    <t>PRODOTTI A SPECIFICA</t>
  </si>
  <si>
    <t>BROWNELL LTD</t>
  </si>
  <si>
    <t>PRODOTTI A CATALOGO</t>
  </si>
  <si>
    <t>COMPONENTI ELETTROMECCANICI</t>
  </si>
  <si>
    <t>ALHOF S.p.A.</t>
  </si>
  <si>
    <t>GENEX RF srl</t>
  </si>
  <si>
    <t>ISO 9001:2015 - certificato n. 9170.GEN2</t>
  </si>
  <si>
    <t>SISTEMI DI ILLUMINAZIONE</t>
  </si>
  <si>
    <t>PROTO LABS TOOLING GmbH</t>
  </si>
  <si>
    <t>STAMPAGGIO, LAVORAZIONI CNC, STAMPA 3D</t>
  </si>
  <si>
    <t>ACAL BFI ITALY srl</t>
  </si>
  <si>
    <t>TECNOTTICA CONSONNI S.R.L.</t>
  </si>
  <si>
    <t>COMPONENTI PER SISTEMI OTTICI</t>
  </si>
  <si>
    <t>PECCHIOLI RESEARCH S.R.L.</t>
  </si>
  <si>
    <t>FUTURA S.R.L.</t>
  </si>
  <si>
    <t>ACX DESIGN S.R.L.</t>
  </si>
  <si>
    <t>DATA INSERIMENTO</t>
  </si>
  <si>
    <t>FRANCO CORRADI &amp; C. S.A.S.</t>
  </si>
  <si>
    <t>QUESTIONARIO PRE-QUALIFICA</t>
  </si>
  <si>
    <t>TRATTAMENTI GALVANICI INDUSTRIALI S.R.L.</t>
  </si>
  <si>
    <t>NUOVA ITALACCIAI S.R.L.</t>
  </si>
  <si>
    <t>MATERIE PRIME</t>
  </si>
  <si>
    <t>ELETTROLEGHE S.R.L.</t>
  </si>
  <si>
    <t>DB ELECTRONIC INSTRUMENTS S.R.L.</t>
  </si>
  <si>
    <t>SGA S.R.L.</t>
  </si>
  <si>
    <t>A.B. ESSE S.P.A.</t>
  </si>
  <si>
    <t>ROTEM INDUSTRIES ISRAEL LTD</t>
  </si>
  <si>
    <t>APPARECCHIATURE LASER</t>
  </si>
  <si>
    <t>CIRCUITI STAMPATI</t>
  </si>
  <si>
    <t>J2 SOURCING AB</t>
  </si>
  <si>
    <t>SUNKING CIRCUITS ELECTRONICS CO., LTD.</t>
  </si>
  <si>
    <t>DEEP LAB S.R.L.</t>
  </si>
  <si>
    <t>C&amp;C S.R.L.</t>
  </si>
  <si>
    <t>PROGETTAZIONE E REALIZZAZIONE MACCHINARI, PARTICOLARI MECCANICI E IMPIANTI</t>
  </si>
  <si>
    <t>APPARATI TECNOLOGIE AVANZATE</t>
  </si>
  <si>
    <t>QUESTIONARIO PRE-QUALIFICA                                             in attesa approvazione Spartaco</t>
  </si>
  <si>
    <t>EN 9100:2018</t>
  </si>
  <si>
    <t>AVIATRONIK TRESCAL S.p.A.</t>
  </si>
  <si>
    <t>CISEL S.R.L.</t>
  </si>
  <si>
    <t>TECNOMEC S.R.L.</t>
  </si>
  <si>
    <t>TESLAB S.R.L.</t>
  </si>
  <si>
    <t>LABORATORIO TEST</t>
  </si>
  <si>
    <t>MATTIOCCO ELASTOMERI S.R.L.</t>
  </si>
  <si>
    <t>MATERIALI PLASTICI</t>
  </si>
  <si>
    <t>PROMATEC S.p.A.</t>
  </si>
  <si>
    <t>COMPONENTI FLUIDODINAMICI</t>
  </si>
  <si>
    <t>RACK PERUZZI</t>
  </si>
  <si>
    <t>NEXOS</t>
  </si>
  <si>
    <t>FG MECCANICA di FABRIZI GIORGIO</t>
  </si>
  <si>
    <t>COSTRUZIONE RACK</t>
  </si>
  <si>
    <t>GOAN S.R.L.</t>
  </si>
  <si>
    <t>CISTELAIER S.p.A.</t>
  </si>
  <si>
    <t>VIGO PHOTONICS S.A.</t>
  </si>
  <si>
    <t>LAMECO</t>
  </si>
  <si>
    <t>MONDO PLASTICA S.R.L.</t>
  </si>
  <si>
    <t>MATERIE PLASTICHE</t>
  </si>
  <si>
    <t>ADVAM S.R.L.</t>
  </si>
  <si>
    <t>CELTE S.p.A.</t>
  </si>
  <si>
    <t>CATAPANO MAURO</t>
  </si>
  <si>
    <t>HSC</t>
  </si>
  <si>
    <t>GENERAL COMPUTER</t>
  </si>
  <si>
    <t>ANTINCENDIO 2005</t>
  </si>
  <si>
    <t>DATAONE</t>
  </si>
  <si>
    <t>ETMAN</t>
  </si>
  <si>
    <t>EUROSERVICE</t>
  </si>
  <si>
    <t xml:space="preserve">MONDOFFICE </t>
  </si>
  <si>
    <t>PACE UTENSILI</t>
  </si>
  <si>
    <t>PRAGMA</t>
  </si>
  <si>
    <t>PRAXIGROUP</t>
  </si>
  <si>
    <t>AMADA</t>
  </si>
  <si>
    <t>RAVEDATI</t>
  </si>
  <si>
    <t>TECNO GENERAL</t>
  </si>
  <si>
    <t>BERNER</t>
  </si>
  <si>
    <t>CDP</t>
  </si>
  <si>
    <t>HOFFMANN</t>
  </si>
  <si>
    <t>MASSARO</t>
  </si>
  <si>
    <t>MITUTOYO</t>
  </si>
  <si>
    <t>MAZAK</t>
  </si>
  <si>
    <t>NEXT04</t>
  </si>
  <si>
    <t>QUASER</t>
  </si>
  <si>
    <t>REGISTRO FORNITORI QUALIFICATI - ITEM E SERVIZI INTERNI</t>
  </si>
  <si>
    <t>REGISTRO FORNITORI QUALIFICATI - ITEM E SERVIZI AL CLIENTE</t>
  </si>
  <si>
    <t>SPECTROGON AB</t>
  </si>
  <si>
    <t>COMPONENTI OTTICI</t>
  </si>
  <si>
    <t>CSA TEAM S.R.L.</t>
  </si>
  <si>
    <t>E.S.E. GEA S.R.L.</t>
  </si>
  <si>
    <t>FENICE MULTISERVIZI S.R.L.</t>
  </si>
  <si>
    <t>AIRSERVICE S.R.L.</t>
  </si>
  <si>
    <t>LIBERO PROFESSIONISTA</t>
  </si>
  <si>
    <t>ASSISTENZA IMPIANTI IDRAULICI</t>
  </si>
  <si>
    <t>SERVIZI</t>
  </si>
  <si>
    <t>PULIZIA, SFALCIO ERBA, FACCHINAGGIO</t>
  </si>
  <si>
    <t>ASSISTENZA TECNICA</t>
  </si>
  <si>
    <t>INSTALLAZIONE E ASSISTENZA IMPIANTI TECNOLOGICI</t>
  </si>
  <si>
    <t>PRODOTTI PER PULIZIA</t>
  </si>
  <si>
    <t>PRODOTTI HARDWARE E LICENZE SOFTWARE</t>
  </si>
  <si>
    <t>SICUREZZA NEI LUOGHI DI LAVORO</t>
  </si>
  <si>
    <t>LICENZE SOFTWARE</t>
  </si>
  <si>
    <t>CONSULENTE</t>
  </si>
  <si>
    <t>CERTIFICAZIONE 14001 E SA8000</t>
  </si>
  <si>
    <t>TRASPORTI</t>
  </si>
  <si>
    <t>CARTOLERIA, MATERIALI PER UFFICI</t>
  </si>
  <si>
    <t>UTENSILERIA E PRODOTTI PER OFFICINA</t>
  </si>
  <si>
    <t>SMALTIMENTO RIFIUTI</t>
  </si>
  <si>
    <t>MEDICO COMPETENTE</t>
  </si>
  <si>
    <t>TELEFONIA, INTERNET</t>
  </si>
  <si>
    <t>FORNITURA CAFFE'</t>
  </si>
  <si>
    <t>ANTINCENDIO, MANUTENZIONE ESTINTORI</t>
  </si>
  <si>
    <t>VENDITA E MANUTENZIONE CARRELLI ELEVATORI</t>
  </si>
  <si>
    <t>LINCAR CARRELLI ELEVATORI S.R.L.</t>
  </si>
  <si>
    <t>LIBER S.R.L.</t>
  </si>
  <si>
    <t>TECNOCLIMA S.R.L.</t>
  </si>
  <si>
    <t>ASSISTENZA CALDAIE</t>
  </si>
  <si>
    <t>TIPOGRAFIA</t>
  </si>
  <si>
    <t>MANUTENZIONE FABBRICATI</t>
  </si>
  <si>
    <t>MANUTENZIONE IMPIANTI</t>
  </si>
  <si>
    <t>MACCHINARI PER PRODUZIONE</t>
  </si>
  <si>
    <t>GLENAIR ITALIA S.p.A.</t>
  </si>
  <si>
    <t>COMELEC S.R.L.</t>
  </si>
  <si>
    <t>VENDITA E MANUTENZIONE MACCHINE UTENSILI</t>
  </si>
  <si>
    <t>CONVERGE</t>
  </si>
  <si>
    <t>DIMAC RED S.p.A.</t>
  </si>
  <si>
    <t>D.P.I.</t>
  </si>
  <si>
    <t>BARBIERI S.R.L.</t>
  </si>
  <si>
    <t>PRODOTTI CHIMICI (ALPHA)</t>
  </si>
  <si>
    <t>PRODOTTI CHIMICI (VIGON)</t>
  </si>
  <si>
    <t>PRODOTTI VARI PER PRODUZIONE</t>
  </si>
  <si>
    <t>TECHNOLOGY NUCLEAR ELECTRONICS SRL</t>
  </si>
  <si>
    <t>ISO 9001:2015 - certificato n.  9115.TNE1</t>
  </si>
  <si>
    <t>PRODOTTI VARI PER AZIENDE (PULIZIA / IMBALLAGGIO / ANTINFORTUNISTICA)</t>
  </si>
  <si>
    <t>GENTILE MULTISERVIZI</t>
  </si>
  <si>
    <t>PULIZIA AREE VERDI</t>
  </si>
  <si>
    <t>AMINSTRUMENTS</t>
  </si>
  <si>
    <t>PRODOTTI E SERVIZI ESD / CLEAN ROOM</t>
  </si>
  <si>
    <t>PRODOTTI ESD / CLEAN ROOM</t>
  </si>
  <si>
    <t>PARTELLI</t>
  </si>
  <si>
    <t>LASER OPTRONIC</t>
  </si>
  <si>
    <t>MITEC</t>
  </si>
  <si>
    <t>BELOTTI SISTEMI</t>
  </si>
  <si>
    <t>STRUMENTI DI MISURA</t>
  </si>
  <si>
    <t>D.S.A</t>
  </si>
  <si>
    <t>WETEC</t>
  </si>
  <si>
    <t>ATTREZZATURE OTTICHE</t>
  </si>
  <si>
    <t>ARROW ELECTRONICS INC</t>
  </si>
  <si>
    <t>ELESA S.p.A.</t>
  </si>
  <si>
    <t>COMPONENTI INDUSTRIALI</t>
  </si>
  <si>
    <t>PLABER</t>
  </si>
  <si>
    <t>F.C.E. S.r.l.</t>
  </si>
  <si>
    <t>inviato QUESTIONARIO PREQUALIFICA</t>
  </si>
  <si>
    <t>MARGARINI IMBALLI S.r.l.</t>
  </si>
  <si>
    <t>IMBALLI A DISEGNO</t>
  </si>
  <si>
    <t>Microchip Technology Ireland Ltd.</t>
  </si>
  <si>
    <t>CONRAD ELECTRONIC ITALIA S.r.l.</t>
  </si>
  <si>
    <t xml:space="preserve"> COSTRUTTORE</t>
  </si>
  <si>
    <t>SENRING ELECTRONICS Co. Limited</t>
  </si>
  <si>
    <t>???</t>
  </si>
  <si>
    <t>ALMET ITALIA S.r.l.</t>
  </si>
  <si>
    <t>ALLUMINIO DI QUALITA'</t>
  </si>
  <si>
    <t>DATA SCADENZA CERTIFICAZIONE</t>
  </si>
  <si>
    <t>POS.</t>
  </si>
  <si>
    <t>A</t>
  </si>
  <si>
    <t>B</t>
  </si>
  <si>
    <t>D</t>
  </si>
  <si>
    <t>Certificazione scaduta - richiedere nuova</t>
  </si>
  <si>
    <t>C</t>
  </si>
  <si>
    <t>SIMULAZIONI - CALIBRAZIONI</t>
  </si>
  <si>
    <t>?</t>
  </si>
  <si>
    <t>A ?</t>
  </si>
  <si>
    <t>APPARECCHIATURE ELETTRONICHE</t>
  </si>
  <si>
    <t>B ?</t>
  </si>
  <si>
    <t xml:space="preserve">ISO 9001:2015 </t>
  </si>
  <si>
    <t>22/02/2027 - 03/03/2026</t>
  </si>
  <si>
    <t>NOXANT</t>
  </si>
  <si>
    <t>SAMTEC</t>
  </si>
  <si>
    <t>GESTIONE SILO</t>
  </si>
  <si>
    <t>TELECAMERE INFRAROSSI</t>
  </si>
  <si>
    <t>DISPOSITIVI OTTICI</t>
  </si>
  <si>
    <t>REGISTRO FORNITORI QUALIFICATI TIPO A - ITEM E SERVIZI AL CLIENTE</t>
  </si>
  <si>
    <t>REGISTRO FORNITORI QUALIFICATI TIPO B - ITEM E SERVIZI AL CLIENTE</t>
  </si>
  <si>
    <t>REGISTRO FORNITORI QUALIFICATI TIPO C- ITEM E SERVIZI AL CLIENTE</t>
  </si>
  <si>
    <t>REGISTRO FORNITORI QUALIFICATI TIPO D - ITEM E SERVIZI AL CLIENTE</t>
  </si>
  <si>
    <t>REGISTRO FORNITORI QUALIFICATI TIPO E - ITEM E SERVIZI AL CLIENTE</t>
  </si>
  <si>
    <t>REGISTRO FORNITORI QUALIFICATI TIPO F - ITEM E SERVIZI AL CLIENTE</t>
  </si>
  <si>
    <t>SERVIZI INFORMATICI</t>
  </si>
  <si>
    <t>E</t>
  </si>
  <si>
    <t>TS2 ENGINEERING</t>
  </si>
  <si>
    <t xml:space="preserve">PROGETTAZIONE </t>
  </si>
  <si>
    <t>INVIATO</t>
  </si>
  <si>
    <t>E-00211 (EWE CONTROL PANEL)</t>
  </si>
  <si>
    <t>LA NUOVA EUROGALV</t>
  </si>
  <si>
    <t>CDC-5/8 (DIR.PROD/MAT CONSUMO)</t>
  </si>
  <si>
    <t>GAS TECNICI ROMA</t>
  </si>
  <si>
    <t>CONS. PARZ.</t>
  </si>
  <si>
    <t>E-00175 (Sk clean &amp; Dirty)</t>
  </si>
  <si>
    <t>VITAL ELECTRONICS</t>
  </si>
  <si>
    <t>E-00210 (SCHEDA CONTROLLO PDU)</t>
  </si>
  <si>
    <t>RS COMPONENTS</t>
  </si>
  <si>
    <t>SCRITTA</t>
  </si>
  <si>
    <t>CONFERMATO</t>
  </si>
  <si>
    <t>E-00216 (CAPGEMINI)</t>
  </si>
  <si>
    <t>PEI GENESIS</t>
  </si>
  <si>
    <t>P.E.I GENESISI</t>
  </si>
  <si>
    <t>E-00153 (NR. 13 QUIRIS)</t>
  </si>
  <si>
    <t>NICOMATIC</t>
  </si>
  <si>
    <t>E-00223 (MODIFICHE QLU)</t>
  </si>
  <si>
    <t>PROVAL SERVICE</t>
  </si>
  <si>
    <t>CONSEGNA CONFERMATA A GENNAIO 2026</t>
  </si>
  <si>
    <t>E-00205 (PEDESTAL)</t>
  </si>
  <si>
    <t>DIGI KEY</t>
  </si>
  <si>
    <t>CHIESTO SALDO - 22/12/2025 (MANCA 1 ITEM)</t>
  </si>
  <si>
    <t>DIGIKEY</t>
  </si>
  <si>
    <t>CDC-01/48 PUBBLICITA'</t>
  </si>
  <si>
    <t>LORENZO VALENTINI</t>
  </si>
  <si>
    <t>CDC-2/17 (AMM/ATTREZZ.)</t>
  </si>
  <si>
    <t>NEXTDEAL SRL</t>
  </si>
  <si>
    <t>CDC-3/39 (QUALITA'/FORMAZIONE)</t>
  </si>
  <si>
    <t>PRAXIMEDICA</t>
  </si>
  <si>
    <t>FARNELL</t>
  </si>
  <si>
    <t>E-00209 (ELT COPERCHI LASER E GPS CAP)</t>
  </si>
  <si>
    <t>E-00198 (NR. 5 QUIRIS)</t>
  </si>
  <si>
    <t>NUOVA ITALACCIAI</t>
  </si>
  <si>
    <t>AKTINA</t>
  </si>
  <si>
    <t>TECNOTTICA CONSONNI</t>
  </si>
  <si>
    <t>E-00204 (SK Videodigitali)</t>
  </si>
  <si>
    <t>CABIOTEC</t>
  </si>
  <si>
    <t>HOFFMAN</t>
  </si>
  <si>
    <t>E-00198 (QUIRIS)</t>
  </si>
  <si>
    <t>DEEP LAB</t>
  </si>
  <si>
    <t>CDC-7/8 (DIR STAB/MATI CONSUMO)</t>
  </si>
  <si>
    <t>QUEESY</t>
  </si>
  <si>
    <t>MONDO PLASTICA</t>
  </si>
  <si>
    <t>CDC-7/20 (DIR. STAB/MANUT FABBR)</t>
  </si>
  <si>
    <t>GEOSEC</t>
  </si>
  <si>
    <t>SOLLECITATO 09/12/2025</t>
  </si>
  <si>
    <t>CDC-7/17 (DIR STAB / ATTREZZ)</t>
  </si>
  <si>
    <t>CE.CA.SA.</t>
  </si>
  <si>
    <t>ELCO</t>
  </si>
  <si>
    <t>301 (INVESTIMENTO)</t>
  </si>
  <si>
    <t>SIEMENS</t>
  </si>
  <si>
    <t xml:space="preserve"> SCRITTA</t>
  </si>
  <si>
    <t>E-00214 (Spare Parts QUIRIS)</t>
  </si>
  <si>
    <t>BRUNETTI</t>
  </si>
  <si>
    <t>ACAL BFI</t>
  </si>
  <si>
    <t>CDC-5/18 (DIR PROD / MANUT STRUMENTI)</t>
  </si>
  <si>
    <t>PAGATO</t>
  </si>
  <si>
    <t>MICROCHIP</t>
  </si>
  <si>
    <t>BOSSARD</t>
  </si>
  <si>
    <t>CDC-4/17 (DIR. TECN /ATTREZZ)</t>
  </si>
  <si>
    <t>CDC-8/5 (HR/REGALIE)</t>
  </si>
  <si>
    <t>IL PANIERE SERAFINI</t>
  </si>
  <si>
    <t>CDC-11/30 (INF TECH/LICENZE)</t>
  </si>
  <si>
    <t>CDC-1/39 (DIR GEN / FORMAZIONE)</t>
  </si>
  <si>
    <t>XEEL LAB</t>
  </si>
  <si>
    <t>CDC-3/17 (QUALITA' / ATTREZZ)</t>
  </si>
  <si>
    <t>CDC-11/30 (INF. TECH/LICENZE SOFTWARE)</t>
  </si>
  <si>
    <t>AUTODESK</t>
  </si>
  <si>
    <t>E-00185 (PANALITYCAL)</t>
  </si>
  <si>
    <t>YAMAZAKI MAZAK</t>
  </si>
  <si>
    <t>CDC-7/10 (DIR STAB/CANCELLERIA)</t>
  </si>
  <si>
    <t>MONDOFFICE</t>
  </si>
  <si>
    <t>GCI</t>
  </si>
  <si>
    <t>EVASO, ATTENDIAMO FATTURA</t>
  </si>
  <si>
    <t>E-00186 (ELT VALIGIE/TEST STATION QUIRIS)</t>
  </si>
  <si>
    <t>MATTIOCCO</t>
  </si>
  <si>
    <t>LIBER</t>
  </si>
  <si>
    <t>SOLID WORLD</t>
  </si>
  <si>
    <t>ORDINE EMESSO IN VALUTA USD - PAGATO</t>
  </si>
  <si>
    <t>E-00215 (CIRCE)</t>
  </si>
  <si>
    <t>MOSRAC</t>
  </si>
  <si>
    <t>ARROW</t>
  </si>
  <si>
    <t>PARIANI</t>
  </si>
  <si>
    <t>E-00123 (SCORPIO 2)</t>
  </si>
  <si>
    <t>D&amp;P</t>
  </si>
  <si>
    <t>INDASS</t>
  </si>
  <si>
    <t>ORDINE EMESSOIN VAUTA USD</t>
  </si>
  <si>
    <t>JSD PCB</t>
  </si>
  <si>
    <t>E-00209 (COPERCHI LASER E GPS CAP)</t>
  </si>
  <si>
    <t>TOPSOLID</t>
  </si>
  <si>
    <t>CDC-5/17 (DIR PROD. / ATTREZZ)</t>
  </si>
  <si>
    <t>E-00210 (Scheda controllo PDU)</t>
  </si>
  <si>
    <t>ORDINE EMESSO IN VALUTA USD</t>
  </si>
  <si>
    <t>SOLYNX</t>
  </si>
  <si>
    <t>FATTURATO 30%+40%+30%</t>
  </si>
  <si>
    <r>
      <rPr>
        <b/>
        <sz val="11"/>
        <color theme="1"/>
        <rFont val="Calibri"/>
        <family val="2"/>
        <scheme val="minor"/>
      </rPr>
      <t>PAGATO</t>
    </r>
    <r>
      <rPr>
        <sz val="11"/>
        <color theme="1"/>
        <rFont val="Calibri"/>
        <family val="2"/>
        <scheme val="minor"/>
      </rPr>
      <t xml:space="preserve"> - ORDINE EMESSO IN VALUTA USD</t>
    </r>
  </si>
  <si>
    <t>TECNOCLIMA</t>
  </si>
  <si>
    <t>CDC-7/21 (DIR. STAB/MANUT IMPIANTI)</t>
  </si>
  <si>
    <t>PANELLA</t>
  </si>
  <si>
    <t>E-00220 (BANCO COLLAUDO QUIRIS)</t>
  </si>
  <si>
    <t>PF ELETTRONICA</t>
  </si>
  <si>
    <t>SALDO A NOVEMBRE</t>
  </si>
  <si>
    <t>CDC-5/8 (DIR PROD / MAT CONSUMO)</t>
  </si>
  <si>
    <t>TECNOMILL</t>
  </si>
  <si>
    <t>MISUMI</t>
  </si>
  <si>
    <t>DB ELECTRONIC</t>
  </si>
  <si>
    <t>CECASA</t>
  </si>
  <si>
    <t>CONSEGNA CONFERMATA AL 10/11/2025</t>
  </si>
  <si>
    <t>FRANCO CORRADI</t>
  </si>
  <si>
    <t>I-TRONIK</t>
  </si>
  <si>
    <t>SEGUE LUIGI</t>
  </si>
  <si>
    <t>SPEDISCONO IL 03/11/2025</t>
  </si>
  <si>
    <t>MITOR</t>
  </si>
  <si>
    <t>SPINELLI</t>
  </si>
  <si>
    <t>CDC-07/03 (DIR. STAB/SERVIZI TERZI)</t>
  </si>
  <si>
    <t>BIO CLEAN</t>
  </si>
  <si>
    <t xml:space="preserve">SEGUE MARCO D'ATTILIO </t>
  </si>
  <si>
    <t>E-00143 (TEWS LCTE 2.0)</t>
  </si>
  <si>
    <t>AVIATRONIK</t>
  </si>
  <si>
    <t>MASSARO ANTONELLO</t>
  </si>
  <si>
    <t>E-00211 (EWE C.P.)</t>
  </si>
  <si>
    <t>AFAR</t>
  </si>
  <si>
    <t>SPACEG CONSULTING</t>
  </si>
  <si>
    <t>FATTURATO ACCONTO 10% ALL'ORDINE+40%</t>
  </si>
  <si>
    <t>DATA CONFERMATA: 23/10/2025</t>
  </si>
  <si>
    <t>E-00143 (EMES TEWS)</t>
  </si>
  <si>
    <t>CP CASES</t>
  </si>
  <si>
    <t>AIR SERVICE</t>
  </si>
  <si>
    <t>CONSEGNA CONFERMATA 23/09</t>
  </si>
  <si>
    <t>SENRING</t>
  </si>
  <si>
    <t>CONSEGNA CONFERMATA 20/09</t>
  </si>
  <si>
    <t>FATTURATO 30% + 40%+30%</t>
  </si>
  <si>
    <t>CDC-7/10 (DIR STAB / CANCELLERIA)</t>
  </si>
  <si>
    <t>E-00213 (PCB QUIRIS)</t>
  </si>
  <si>
    <t>CDC-5/8 (DIR PROD / MAT CONSUMO</t>
  </si>
  <si>
    <t>CDC-4/17 (DIR. TECNICA/ATTREZZ)</t>
  </si>
  <si>
    <t>QUANTUM DESIGN</t>
  </si>
  <si>
    <t>BRUNETTI E FIGLIO</t>
  </si>
  <si>
    <t>CDC-10/44 (LOGISTICA/TRASPORTI)</t>
  </si>
  <si>
    <t>MINGUZZI</t>
  </si>
  <si>
    <t>E-00186 (ELT VALIGIE / TEST STATION QUIRIS)</t>
  </si>
  <si>
    <t>AGINT</t>
  </si>
  <si>
    <t>CDC-7/8 (DIR STAB/MAT CONSUMO)</t>
  </si>
  <si>
    <t>FATTURATO 40% + 40%+20%</t>
  </si>
  <si>
    <t>CDC-11/30 (INF TECHN/LICENZE)</t>
  </si>
  <si>
    <t>EVASO, IN ATTESA DI FATTURA</t>
  </si>
  <si>
    <t>E-00120 (RF ROUTING)</t>
  </si>
  <si>
    <t>P.F. ELETTRONICA</t>
  </si>
  <si>
    <t>PAGATA CARTA CREDITO LUIGI</t>
  </si>
  <si>
    <t>APSO PARTS</t>
  </si>
  <si>
    <t>C&amp;C</t>
  </si>
  <si>
    <t>ELETTROLEGHE</t>
  </si>
  <si>
    <t>NUOVA EDIL</t>
  </si>
  <si>
    <t>ANNULLATO</t>
  </si>
  <si>
    <t>EDMUND OPTICS</t>
  </si>
  <si>
    <t>CDC-7/8 (DIR STAB / MAT CONSUMO)</t>
  </si>
  <si>
    <t>PAGATO CARTA CREDITO</t>
  </si>
  <si>
    <t>RITIRO 03/10/2025 ?</t>
  </si>
  <si>
    <t>E-00208 (SPERIMENTAZIONE CUAS)</t>
  </si>
  <si>
    <t>ELMACOM</t>
  </si>
  <si>
    <t>PAGATO / SPEDITO</t>
  </si>
  <si>
    <t>CDC-5/8 (DIR. PROD / MAT CONSUMO)</t>
  </si>
  <si>
    <t>DATA INTERVENTO 29/09/2025</t>
  </si>
  <si>
    <t>BIOCLEAN</t>
  </si>
  <si>
    <t>E.S.E. GEA</t>
  </si>
  <si>
    <t>ANGELANTONI TEST</t>
  </si>
  <si>
    <t>CONSEGNATI NR. 1 + NR. 2 + NR. 2</t>
  </si>
  <si>
    <t>SERVOTECNICA</t>
  </si>
  <si>
    <t>E-00210 (SCHEDA CONTROLLO ELT)</t>
  </si>
  <si>
    <t>ACX DESIGN</t>
  </si>
  <si>
    <t>E-00150 (LARIMART DU)</t>
  </si>
  <si>
    <t>GLV TECHNOLOGY</t>
  </si>
  <si>
    <t>E-00148 (LARIMART - WPC)</t>
  </si>
  <si>
    <t>CDC-8/3 (DIR. HR / SERVIZI TERZI)</t>
  </si>
  <si>
    <t>ADECCO</t>
  </si>
  <si>
    <t>E-00209 (GPS CAP)</t>
  </si>
  <si>
    <t>CDC-12/8 (MAGAZZINO / MAT CONSUMO)</t>
  </si>
  <si>
    <t>LANDOIL</t>
  </si>
  <si>
    <t>GENEX RF</t>
  </si>
  <si>
    <t>ELESA</t>
  </si>
  <si>
    <t>E-00191 (STUDIO AIR COOLER)</t>
  </si>
  <si>
    <t>FORASTIERI ANTONIO</t>
  </si>
  <si>
    <t>MECCANICA INNOVATIVA</t>
  </si>
  <si>
    <t>CONSEGNA SLITTATA DOPO LE FERIE</t>
  </si>
  <si>
    <t>CHIAMARE LUNEDI' 01/09 X SPEDIZIONE</t>
  </si>
  <si>
    <t>POWERFLEX</t>
  </si>
  <si>
    <t>CONSEGNA 01/02 SETTEMBRE</t>
  </si>
  <si>
    <t>CDC-7/8 (DIR. STAB / MAT CONSUMO)</t>
  </si>
  <si>
    <t>ARRIVATO, DDT C/O GIULIANO</t>
  </si>
  <si>
    <t>ECOPOINT</t>
  </si>
  <si>
    <t>MITOR SYSTEM</t>
  </si>
  <si>
    <t>ALMET ITALIA</t>
  </si>
  <si>
    <t>F.LLI BUSSI</t>
  </si>
  <si>
    <t>POMPA TRASPORTI</t>
  </si>
  <si>
    <t>CONRAD ELECTRONIC</t>
  </si>
  <si>
    <t>E-00183 (JIG ANTENNA B U212)</t>
  </si>
  <si>
    <t>CONSEGNA PREVISTA 01/08/2025</t>
  </si>
  <si>
    <t>PRONTO PER RITIRO</t>
  </si>
  <si>
    <t>E-00209 (GPS CAP / COPERCHI)</t>
  </si>
  <si>
    <t>FG MECCANICA</t>
  </si>
  <si>
    <t>CONSEGNA SETT. 21-26/07</t>
  </si>
  <si>
    <t>CDC-7/19</t>
  </si>
  <si>
    <t>CLASSIC 2000</t>
  </si>
  <si>
    <t>IN ARRIVO SETTIMANA 14-17/07</t>
  </si>
  <si>
    <t>ISTITUTO GIORDANO</t>
  </si>
  <si>
    <t>SALDO ENTRO IL 15/07 (SERGIO)</t>
  </si>
  <si>
    <t>CDC-5/17 (DIR. PROD / ATTREZZ)</t>
  </si>
  <si>
    <t>PAGATO - CONSEGNA 27/06/2025</t>
  </si>
  <si>
    <t>IKEA</t>
  </si>
  <si>
    <t>METATRON</t>
  </si>
  <si>
    <t>E-00188 (DELTA LCTE)</t>
  </si>
  <si>
    <t>FENICE MULTISERVIZI</t>
  </si>
  <si>
    <t>CDC 7/20 (DIR.STAB / MANUT FABBR.</t>
  </si>
  <si>
    <t>IC INTRACOM</t>
  </si>
  <si>
    <t>CONSEGNE SCAGLIONATE</t>
  </si>
  <si>
    <t>SERGIO HA CHIESTO INFO - 27/06/2025</t>
  </si>
  <si>
    <t>SOLLECITATA IL 03/07/2025</t>
  </si>
  <si>
    <t>TGI</t>
  </si>
  <si>
    <t>CONSEGNA CONFERMATA AL 04/07/2025</t>
  </si>
  <si>
    <t>DIMAC RED</t>
  </si>
  <si>
    <t>CDC.7/8 (DIR. STAB / MAT. CONSUMO)</t>
  </si>
  <si>
    <t>CONSEGNA SLITTATA A FINE GIUGNO</t>
  </si>
  <si>
    <t>MAGI CUSCINETTI</t>
  </si>
  <si>
    <t>E-00202 (CAP GEMINI)</t>
  </si>
  <si>
    <t>GENEX</t>
  </si>
  <si>
    <t>MARGARINI IMBALLI</t>
  </si>
  <si>
    <t>E-00103  (QUIRIS 5+2)</t>
  </si>
  <si>
    <t>ROTEM</t>
  </si>
  <si>
    <t>CDC-10/44 (GEST. LOG./ TRASPORTI)</t>
  </si>
  <si>
    <t>ESSEQUADRO</t>
  </si>
  <si>
    <t>PREZZI A CONSUNTIVO</t>
  </si>
  <si>
    <t>E-00192 (ELT PART.MECCANICI)</t>
  </si>
  <si>
    <t>E-00196 (WONDER)</t>
  </si>
  <si>
    <t>D.S.A.</t>
  </si>
  <si>
    <t>IN ARRIVO SETTIMANA 30/07-04/07</t>
  </si>
  <si>
    <t>CDC-5/8 (DIR- PROD / MAT CONSUMO)</t>
  </si>
  <si>
    <t>SALDO A FINE GIUGNO</t>
  </si>
  <si>
    <t>CDC-7/8  (DIR STAB/MAT CONSUMO)</t>
  </si>
  <si>
    <t>PONTECORVO</t>
  </si>
  <si>
    <t>SPEDITO IL 12/06/2025</t>
  </si>
  <si>
    <t>SPEDITO IL 24/06/2025</t>
  </si>
  <si>
    <t>ALHOF</t>
  </si>
  <si>
    <t>PAGATO - SPEDITO IL 23/06</t>
  </si>
  <si>
    <t>E-00202 (CAPGEMINI)</t>
  </si>
  <si>
    <t>CDC-5/17 (DIR PROD /ATTREZZ)</t>
  </si>
  <si>
    <t>E-00068 (INFN)</t>
  </si>
  <si>
    <t>E-00192 (ELT - PART. MECCANICI)</t>
  </si>
  <si>
    <t>E-00197 (ELT COPERCHI)</t>
  </si>
  <si>
    <t>F.LLI GUERRERO</t>
  </si>
  <si>
    <t>TUTTO FATTURATO</t>
  </si>
  <si>
    <t>SOLIDWORLD</t>
  </si>
  <si>
    <t>PAGATO ACCONTO € 4300 IL 20/01/2025</t>
  </si>
  <si>
    <t>DATA DI CONSEGNA DA CONFERMARE</t>
  </si>
  <si>
    <t>STEALTECH</t>
  </si>
  <si>
    <t>CONSEGNA CONFERMATA: 26/06/2025</t>
  </si>
  <si>
    <t>MILEXIA</t>
  </si>
  <si>
    <t>CONSEGNA CONFERMATA: 25/06/2025</t>
  </si>
  <si>
    <t>TUTTO FATTURATO - SEGUE LUIGI</t>
  </si>
  <si>
    <t>CDC-1/1 (DIR.GEN. / ONORARI CONSULENTI</t>
  </si>
  <si>
    <t>ARCH. ILARIA AMATUCCI</t>
  </si>
  <si>
    <t>MATERIALI SPEDITI IL 06/05/2025</t>
  </si>
  <si>
    <t>ELTREV</t>
  </si>
  <si>
    <t>SOLLECITATA 06/06/2025</t>
  </si>
  <si>
    <t>PAGATO - CONSEGNA 17/06/2025</t>
  </si>
  <si>
    <t>A.B.ESSE</t>
  </si>
  <si>
    <t>MARGARINI</t>
  </si>
  <si>
    <t>D.I.M.</t>
  </si>
  <si>
    <t>CONSEGNA PREVISTA AL 23/05/2024</t>
  </si>
  <si>
    <t>GALVANICA ITALIA</t>
  </si>
  <si>
    <t>E-00150 (LARIMART - DISPLAY UNIFICATO)</t>
  </si>
  <si>
    <t>I-P0001 (NUTRI 3D)</t>
  </si>
  <si>
    <t>FATTURATO ACCONTO 40% - CONSEGNA FINE MAGGIO</t>
  </si>
  <si>
    <t>E-00143 (EMES TEWS - RSS)</t>
  </si>
  <si>
    <t>ELETTRONICA GMBH</t>
  </si>
  <si>
    <t>TPA</t>
  </si>
  <si>
    <t>CONSEGNA ENTRO 30/05/2025</t>
  </si>
  <si>
    <t>E-00200 (ELT / PART. MECCANICI)</t>
  </si>
  <si>
    <t>F.C.E.</t>
  </si>
  <si>
    <t>CISTELAIER</t>
  </si>
  <si>
    <t>RG CASES</t>
  </si>
  <si>
    <t>SOLLECITATA CONSEGNA 09/05/2025</t>
  </si>
  <si>
    <t>CML</t>
  </si>
  <si>
    <t>E-00124 (DIRCM EMULATOR)</t>
  </si>
  <si>
    <t>IN ATTESA SBLOCCO CONSEGNA DA ELT ROMA</t>
  </si>
  <si>
    <t>E-00195 (DELTA DIRCM EMULATOR)</t>
  </si>
  <si>
    <t>CONSEGNA ULTIMA SETTIMANA DI MAGGIO</t>
  </si>
  <si>
    <t>E-00182 (Test Adapter KB CONV)</t>
  </si>
  <si>
    <t>E-00150 (LARIMART - DU)</t>
  </si>
  <si>
    <t>ODOO</t>
  </si>
  <si>
    <t>MECCCANICA INNOVATIVA</t>
  </si>
  <si>
    <t>BARBIERI</t>
  </si>
  <si>
    <t>SOLLECITATA CONSEGNA 13/05/2025</t>
  </si>
  <si>
    <t>STAMPA &amp; TAGLIO</t>
  </si>
  <si>
    <t>PREZZO A CONSUNTIVO</t>
  </si>
  <si>
    <t>CONSEGNA CONFERMATA AL 15-16/05</t>
  </si>
  <si>
    <t>ANNULATO</t>
  </si>
  <si>
    <t>-</t>
  </si>
  <si>
    <t>E-00187 (QUIRIS PROTO A)</t>
  </si>
  <si>
    <t>E-00182 (JIG INCOLLAGGIO)</t>
  </si>
  <si>
    <t>E-00067 (EWE)</t>
  </si>
  <si>
    <t>SALDO SPEDITO IL 08/05</t>
  </si>
  <si>
    <t>SPEDITO IL 07/05</t>
  </si>
  <si>
    <t>CDC-4/17  (DIR TECNICA / STRUMENTI)</t>
  </si>
  <si>
    <t>PROPAC</t>
  </si>
  <si>
    <t>301 I-C0001 (CESPITE/INVESTIMENTO)</t>
  </si>
  <si>
    <t>AMARA NET ZERO</t>
  </si>
  <si>
    <t>SCAGLIOTTI ROBERTO</t>
  </si>
  <si>
    <t>CONSEGNA FINE APRILE</t>
  </si>
  <si>
    <t>E-00183 (ELT JIG Antenna)</t>
  </si>
  <si>
    <t>E-00194 (SUPPORTO INDONESIA)</t>
  </si>
  <si>
    <t>OMECA</t>
  </si>
  <si>
    <t>AR FILTRAZIONI</t>
  </si>
  <si>
    <t>CDC-11/29 - 11/30</t>
  </si>
  <si>
    <t>PIERGIACOMI</t>
  </si>
  <si>
    <t>CDC-1/33 (DIR GEN / GENERI ALIM)</t>
  </si>
  <si>
    <t>SODEMANN</t>
  </si>
  <si>
    <t>KM SOLTEC</t>
  </si>
  <si>
    <t>301 (CESPITE / INVESTIMENTO)</t>
  </si>
  <si>
    <t>CELTE</t>
  </si>
  <si>
    <t>MEDIA WORLD</t>
  </si>
  <si>
    <t>CDC-7/35 (DIR STAB / PULIZIA AREE VERDI)</t>
  </si>
  <si>
    <t>E-00178 (HYUNDAI)</t>
  </si>
  <si>
    <t>TECNOMEC</t>
  </si>
  <si>
    <t>ORDINE EMESSO IN VALUTA GBP</t>
  </si>
  <si>
    <t>BROWNELL</t>
  </si>
  <si>
    <t>JSD</t>
  </si>
  <si>
    <t>CDC-7/19 (DIR STAB (MANUT. MEZZI TRASP)</t>
  </si>
  <si>
    <t>LINCAR</t>
  </si>
  <si>
    <t>COMELEC</t>
  </si>
  <si>
    <t>SPECTROGON</t>
  </si>
  <si>
    <t>E-00103 (QUIRIS 5+2)</t>
  </si>
  <si>
    <t>ATTIVITA' CONCLUSE - IN ATTESA FATTURA</t>
  </si>
  <si>
    <t>TESLAB</t>
  </si>
  <si>
    <t>PIERGIACOMI FORNITURE</t>
  </si>
  <si>
    <t>CDC-7/8 (DIR STAB ( MAT CONSUMO)</t>
  </si>
  <si>
    <t>E-00110 (LEONARDO EX WASS)</t>
  </si>
  <si>
    <t>SPEDITA, IN ARRIVO IL 02/04/2025</t>
  </si>
  <si>
    <t>DS-GROUP</t>
  </si>
  <si>
    <t>SALDO PREVISTO IL 02/04/2025</t>
  </si>
  <si>
    <t>PAGATO ACCONTO 50% (€ 2310,00)</t>
  </si>
  <si>
    <t>TNE</t>
  </si>
  <si>
    <t>CDC-7/10 (DIR STAB / MAT UFFICI)</t>
  </si>
  <si>
    <t>UPCOAT</t>
  </si>
  <si>
    <t>301 (CESPITE/INVESTIMENTO)</t>
  </si>
  <si>
    <t>CDC-7/6 (STAB /SPESE CERTIFICAZIONE)</t>
  </si>
  <si>
    <t>ASGI</t>
  </si>
  <si>
    <t>PAGATO - CONSEGNA CONFERMATA 27/03/2025</t>
  </si>
  <si>
    <t>GLENAIR</t>
  </si>
  <si>
    <t>SPEDIZIONE 21/02/2025</t>
  </si>
  <si>
    <t>CONSEGNA SLITTATA DI 4 SETTIMANE</t>
  </si>
  <si>
    <t>CDC-5/17 (DIR PROD / STRUM ATTEZZ)</t>
  </si>
  <si>
    <t>CDC-4 /17 (DIR TECNICA / ATTREZZ)</t>
  </si>
  <si>
    <t>FATTURATO 50% ALL'ORDINE</t>
  </si>
  <si>
    <t>E-00181 (POTTING_e_VARIE_QTU e QLU)</t>
  </si>
  <si>
    <t>BRUNETTI&amp;FIGLIO</t>
  </si>
  <si>
    <t>CONSEGNA SLITTATA ALLA SETT. 17-21/02</t>
  </si>
  <si>
    <t>E-00177 ( JIG PAU SEL. E CH. ROUTING)</t>
  </si>
  <si>
    <t>SPEDIZIONE CONFERMATA PER IL 04/03/2025</t>
  </si>
  <si>
    <t>DPI ELETTRONICA</t>
  </si>
  <si>
    <t>PAGATO ACCONTO 20%</t>
  </si>
  <si>
    <t>SALDO CONFERMATO AL 20/02/2025</t>
  </si>
  <si>
    <t>CONSEGNA SETTIMANA DEL 24/02/2025</t>
  </si>
  <si>
    <t>SPEDIZIONE 26/02/2025</t>
  </si>
  <si>
    <t>CDC-7/35 (DIR STAB / PULIZIA)</t>
  </si>
  <si>
    <t>CONSEGNA SLITTATA AL 10/03/2025</t>
  </si>
  <si>
    <t>PAGATO ANTICIPO 30%</t>
  </si>
  <si>
    <t>STE.AL.TECH.</t>
  </si>
  <si>
    <t>E-00184 (ELEMENTO DI CHIUSURA)</t>
  </si>
  <si>
    <t>E-00182 (TEST ADAPT E JIG INCOLL)</t>
  </si>
  <si>
    <t>A. PONTECORVO</t>
  </si>
  <si>
    <t>CONSEGNA CONFERMATA 24/02/2025</t>
  </si>
  <si>
    <t>E-00180 (GUSCI PROT. DOME)</t>
  </si>
  <si>
    <t>PL EURO SERVICE - PROTOLABS</t>
  </si>
  <si>
    <t>E-00165 (PULSANTI GOMA)</t>
  </si>
  <si>
    <t>E-00175 (SK CLEAN &amp; DIRTY)</t>
  </si>
  <si>
    <t>SPEDITO IL 14/02/2025</t>
  </si>
  <si>
    <t>IN ARRIVO IL 18/02/2025</t>
  </si>
  <si>
    <t>E-00179 (AIRBUS)</t>
  </si>
  <si>
    <t>CDC-11/29 (INF.TECH / HARDWARE)</t>
  </si>
  <si>
    <t>SALDO PREVISTO IL 24/02/2025</t>
  </si>
  <si>
    <t>FATTURATO 30%</t>
  </si>
  <si>
    <t>CDC-11/30 (INF.TECH /LICENZE SOFTWARE)</t>
  </si>
  <si>
    <t>ADVAM</t>
  </si>
  <si>
    <t>CDC-7/35</t>
  </si>
  <si>
    <t>SPEDITO 16/01/2025 - IN SDOGANAMENTO</t>
  </si>
  <si>
    <t>E-00156 (DIRCM EMULATOR)</t>
  </si>
  <si>
    <t>CDC-7/8 (DIR. STAB. / MAT CONSUMO)</t>
  </si>
  <si>
    <t>E-00079 (QUIRIS)</t>
  </si>
  <si>
    <t>ELETTRONICA S.P.A.</t>
  </si>
  <si>
    <t>E-00176 (ADATTATORE CSAS)</t>
  </si>
  <si>
    <t>CDC-11/30 (INF TECH / SOFTWARE)</t>
  </si>
  <si>
    <t>CDC-7/19 (DIR STAB /MANUT MEZZI TRASP)</t>
  </si>
  <si>
    <t>CDC-1/33 (DIR. GEN / GENERI ALIM)</t>
  </si>
  <si>
    <t>E-00067 (EWE CONTROL PANEL)</t>
  </si>
  <si>
    <t>CDC 5/17 (DIR PROD / ATTREZZ)</t>
  </si>
  <si>
    <t>E-00168 (RIP. RETROFIT SPS PANEL)</t>
  </si>
  <si>
    <t>CDC-7/8 (STAB / MAT CONSUMO)</t>
  </si>
  <si>
    <t>E-00173 (ELT - PIASTRE)</t>
  </si>
  <si>
    <t>GCI-11/29 (INF. TECHN / HARDWARE)</t>
  </si>
  <si>
    <t>MONDOPLASTICA</t>
  </si>
  <si>
    <t>E-00127 (LARIMART CARICABATTERIE)</t>
  </si>
  <si>
    <t>VIGO PHOTONICS</t>
  </si>
  <si>
    <t>CDC-7/35 (DIR STAB / PULIZIE)</t>
  </si>
  <si>
    <t>ELMI</t>
  </si>
  <si>
    <t>CDC-10/44 (GEST. MAG / TRASPORTI)</t>
  </si>
  <si>
    <t>COMMESSA DA DEFINIRE</t>
  </si>
  <si>
    <t>CDC-8/39 (HR / FORMAZIONE)</t>
  </si>
  <si>
    <t>CSA</t>
  </si>
  <si>
    <t>CDC-11/19 (MAGAZZ / MANUT. AUTOMEZZI)</t>
  </si>
  <si>
    <t>CDC-5/18 (DIR. PROD/MANUT STRUM)</t>
  </si>
  <si>
    <t>E-00164 (RETROFIT NR. 2 QUIRIS)</t>
  </si>
  <si>
    <t>AUTOMATOR</t>
  </si>
  <si>
    <t>E-00145 (GPS CAP)</t>
  </si>
  <si>
    <t>E-00172 (AIRBUS)</t>
  </si>
  <si>
    <t>CDC-5/17 (DIR PROD / ATTREZZ)</t>
  </si>
  <si>
    <t>ELT 4500066735</t>
  </si>
  <si>
    <t>VALUTA USD</t>
  </si>
  <si>
    <t>E-00162 (ELT COPERCHI ESTERNI)</t>
  </si>
  <si>
    <t>MICROPLAN</t>
  </si>
  <si>
    <t>ELETTRONICA SPA</t>
  </si>
  <si>
    <t>CDC-7/17 (DIR STAB/ATTREZZ)</t>
  </si>
  <si>
    <t>CDC-7/35 (STAB/PULIZIE E AREE VERDI)</t>
  </si>
  <si>
    <t>E-00160 (ELT 4500066059)</t>
  </si>
  <si>
    <t>CISEL</t>
  </si>
  <si>
    <t>CDC-11/30 (INF. TECH /  LICENZE)</t>
  </si>
  <si>
    <t>CDC-5/6 (DIR PROD/SPESE CERTIF)</t>
  </si>
  <si>
    <t>CDC-11/29 (INF. TECHN / SPESE HARDWARE)</t>
  </si>
  <si>
    <t>PANELLA MARCO</t>
  </si>
  <si>
    <t>SUNKING</t>
  </si>
  <si>
    <t>CDC-5/1 (DIR PROD / CONSULENZE)</t>
  </si>
  <si>
    <t>C.S. CIRCUITI STAMPATI</t>
  </si>
  <si>
    <t>PSM CELADA</t>
  </si>
  <si>
    <t>CDC</t>
  </si>
  <si>
    <t>E-000150 (LARIMART DU)</t>
  </si>
  <si>
    <t>CDC-7/35 (DIR. STAB / PULIZIA)</t>
  </si>
  <si>
    <t>CATAPANO</t>
  </si>
  <si>
    <t>E-00149 (FLANGIA FISSAGGIO DOME)</t>
  </si>
  <si>
    <t>PROMATEC</t>
  </si>
  <si>
    <t>E-00083 (PANALYTICAL)</t>
  </si>
  <si>
    <t>E-00110 (LEONARDO SCHEDE ETS)</t>
  </si>
  <si>
    <t>CDC-5/8 (DIR PROD/MAT CONSUMO)</t>
  </si>
  <si>
    <t>PANNELLI CASSETTI RACK (DA RICEVERE)</t>
  </si>
  <si>
    <t>E-00164 (Retrofit QTU SN 8 e 9 EMI)</t>
  </si>
  <si>
    <t>E-00071 (LCTE)</t>
  </si>
  <si>
    <t>AICA</t>
  </si>
  <si>
    <t>CDC-5/15 (DIR. PROD/NOLEGGIO)</t>
  </si>
  <si>
    <t>CDC-11/22 (INF.TECH./MAN. SW E HW)</t>
  </si>
  <si>
    <t>E-00166 (AIRBUS)</t>
  </si>
  <si>
    <t>CDC-5/8 (DIR. PROD / MAT. CONSUMO)</t>
  </si>
  <si>
    <t>CDC-4/7 (DIR. TECNICA / MAT PROTOTIPI)</t>
  </si>
  <si>
    <t>KEYENCE ITALIA</t>
  </si>
  <si>
    <t>E-00132 (RIP. PDU RACK ADRIAN)</t>
  </si>
  <si>
    <t>E-00140 (ELT ITEM MECCANICI)</t>
  </si>
  <si>
    <t>CDC-11/30 (INF. TECH / LICENZE SOFT.)</t>
  </si>
  <si>
    <t>CDC-12/8 (MAGAZZINO / MAT. CONSUMO)</t>
  </si>
  <si>
    <t>CDC-1/33 (DIR GEN / ACQUISTO BEVANDE)</t>
  </si>
  <si>
    <t>CDC-5/1 (DIR. PROD / ONORARI CONS)</t>
  </si>
  <si>
    <t>MEDIASAT</t>
  </si>
  <si>
    <t>CDC-11/30 (INF. TECHN/LICENZE SOFT)</t>
  </si>
  <si>
    <t>E-00146 (ELT-ITEM MECCANICI)</t>
  </si>
  <si>
    <t>CDC-5/17 (DIR. PROD/ATTREZZ)</t>
  </si>
  <si>
    <t>CDC-7/19 (DIR. STAB / MANUT MEZZI TRASP)</t>
  </si>
  <si>
    <t>CDC-5/7  (DIR PROD/MAT PROTITIPI)</t>
  </si>
  <si>
    <t>E-00152 (RIPARAZIONE QUIRIS)</t>
  </si>
  <si>
    <t>CDC-7/10 (DIR. STAB/CARTOLERIA)</t>
  </si>
  <si>
    <t>GOAN</t>
  </si>
  <si>
    <t>E-00114 (LARIMART IWA - HWA)</t>
  </si>
  <si>
    <t>E-00146 (ELT ITEM MECCANICI)</t>
  </si>
  <si>
    <t>CDC-5/39 (DIR PROD / FORMAZIONE)</t>
  </si>
  <si>
    <t>C.S.A</t>
  </si>
  <si>
    <t>E-00105 (AUDIO ASSY)</t>
  </si>
  <si>
    <t>SUNKING CIRCUIT</t>
  </si>
  <si>
    <t>CDC-7/21 (DIR. STAB / MANUT IMPIANTI)</t>
  </si>
  <si>
    <t>CDC-8/43 (DIR HR/AGGIORN FORMAZ)</t>
  </si>
  <si>
    <t>CDC-5/17 (DIR PROD /ATTREZZI)</t>
  </si>
  <si>
    <t>EL.MI</t>
  </si>
  <si>
    <t>STAMPA E TAGLIO</t>
  </si>
  <si>
    <t>CDC-5/8 (PROD. / MAT. CONSUMO)</t>
  </si>
  <si>
    <t>RIDIX</t>
  </si>
  <si>
    <t>E-00139 (MAW)</t>
  </si>
  <si>
    <t>SGA</t>
  </si>
  <si>
    <t>CDC-10/44 (GESTIONE MAG / TRASPORTI)</t>
  </si>
  <si>
    <t>E-00041 (ENEA)</t>
  </si>
  <si>
    <t>POMPA</t>
  </si>
  <si>
    <t>NIPPON GASES</t>
  </si>
  <si>
    <t>SCHEDA COLLAUDO SCHEDE QUIRIS</t>
  </si>
  <si>
    <t>CDC-10/8 (MAT.MAGAZZINO)</t>
  </si>
  <si>
    <t>DONDINI LUIGI</t>
  </si>
  <si>
    <t>SIE.TEL</t>
  </si>
  <si>
    <t>I-C0001 (INVESTIMENTI/CESPITI)</t>
  </si>
  <si>
    <t>J2 SOURCING</t>
  </si>
  <si>
    <t>CDC 11/59 (INF. TECHNOLOGY)</t>
  </si>
  <si>
    <t>E-00135 (RIPARAZIONE RACK ADRIAN)</t>
  </si>
  <si>
    <t>E-00072 (SCHEDE LEONARDO)</t>
  </si>
  <si>
    <t>ELETTRONICA S.R.L.S.</t>
  </si>
  <si>
    <t>E-00108 (SCHEDE LEONARDO)</t>
  </si>
  <si>
    <t>E-00108 (SCHEDE LEONARDO</t>
  </si>
  <si>
    <t>WURTH</t>
  </si>
  <si>
    <t>E-00116 (CAVI TAIWAN</t>
  </si>
  <si>
    <t>DEVE ARRIVARE ORDINE</t>
  </si>
  <si>
    <t>STULZ</t>
  </si>
  <si>
    <t>CDC-5/8 (DIR PROD/MAT DI CONSUMO)</t>
  </si>
  <si>
    <t>SATI</t>
  </si>
  <si>
    <t xml:space="preserve">ELT P/N E0301754 01 </t>
  </si>
  <si>
    <t>RACK ADRIAN</t>
  </si>
  <si>
    <t>MAGI</t>
  </si>
  <si>
    <t>CDC-5/1 (DIR PROD/CONSULENZA)</t>
  </si>
  <si>
    <t>ELETTRONICA SRLS</t>
  </si>
  <si>
    <t>ELT 4500063634 (SUPP. ANTENNA EMS)</t>
  </si>
  <si>
    <t>PRODOTTI NAVALI &amp; IND.</t>
  </si>
  <si>
    <t>E-00122 (SUPP. ANTENNA ESM)</t>
  </si>
  <si>
    <t>E-00116 (CAVI TAIWAN)</t>
  </si>
  <si>
    <t>TECNOTTICA</t>
  </si>
  <si>
    <t>CDC-7/40 (DIR STAB / MANUT IMP)</t>
  </si>
  <si>
    <t>ECI</t>
  </si>
  <si>
    <t>FUTURA</t>
  </si>
  <si>
    <t>CDC-5/21  (DIR PRDO/MANUT IMPIANTI)</t>
  </si>
  <si>
    <t>ORDINE DA RICEVERE</t>
  </si>
  <si>
    <t>E-00117 (SCHEDE LEONARDO)</t>
  </si>
  <si>
    <t>CASA DEL BULLONE</t>
  </si>
  <si>
    <t>CDC-5/17 (DIR PROD/ATTR. STRUM)</t>
  </si>
  <si>
    <t>CDC-7/33 (DIR STAB/ATTREZZ)</t>
  </si>
  <si>
    <t>(ELT 4500063634)</t>
  </si>
  <si>
    <t>VERBALE</t>
  </si>
  <si>
    <t>CDC-07/36 (PROD/PULIZIE AREE VERDI)</t>
  </si>
  <si>
    <t>E-00108 (LEONARDO)</t>
  </si>
  <si>
    <t>CDC-5/17 (DIR PROD/CONSULENZA)</t>
  </si>
  <si>
    <t>(ELT 4500064063)</t>
  </si>
  <si>
    <t>CDC-5/8 (DIR PROD / MAT. CONSUMO)</t>
  </si>
  <si>
    <t>E-00099 (TOOLS ELT)</t>
  </si>
  <si>
    <t>CDC-5/20 (PROD/ATTREZZ)</t>
  </si>
  <si>
    <t>JIT PER TEST QUIRIS</t>
  </si>
  <si>
    <t>T.G.I.</t>
  </si>
  <si>
    <t>CDC-1/39 (DIR./FORMAZIONE)</t>
  </si>
  <si>
    <t xml:space="preserve">UFFICIO IDEA </t>
  </si>
  <si>
    <t>CDC-5/17 (DIR PROD/ACCESSORI)</t>
  </si>
  <si>
    <t>CDC-10/44 (GEST MAG / TRASPORTI)</t>
  </si>
  <si>
    <t>MECKETRONICS</t>
  </si>
  <si>
    <t>CDC-5/17 (PROD/ATTREZZ)</t>
  </si>
  <si>
    <t>TOPFLOOR</t>
  </si>
  <si>
    <t>E-00108 (LEONARDO-PALMA)</t>
  </si>
  <si>
    <t>(CDC-10/44)</t>
  </si>
  <si>
    <t>E-00110 (LEONARDO - EX WASS)</t>
  </si>
  <si>
    <t>MECKERTRONICS</t>
  </si>
  <si>
    <t>CDC-5/21 (PROD/MANUTENZIONE)</t>
  </si>
  <si>
    <t>E-00099 (ELT 4500061939)</t>
  </si>
  <si>
    <t>E-00067 (EWE - TEST STATION)</t>
  </si>
  <si>
    <t>CDC-5/8 (PROD/MAT CONSUMO)</t>
  </si>
  <si>
    <t>CDC-5/17 (DIR. PROD / ATTREZZ.)</t>
  </si>
  <si>
    <t>GM COMPUTERS</t>
  </si>
  <si>
    <t>CDC-5/19 (PROD/MAT CONSUMO)</t>
  </si>
  <si>
    <t>ABTOOLS</t>
  </si>
  <si>
    <t>E-00116  (ELT - CAVI TAIWAN)</t>
  </si>
  <si>
    <t>E-000111 (ELT JIG DI VIBRAZIONE)</t>
  </si>
  <si>
    <t>3P ELECTRONICS</t>
  </si>
  <si>
    <t>E-00072  (LEONARDO)</t>
  </si>
  <si>
    <t>E-00130 (QUIRIS TEST STATION)</t>
  </si>
  <si>
    <t>ACAL BFI ITALIA</t>
  </si>
  <si>
    <t>E-00115 (ELT 4500062754)</t>
  </si>
  <si>
    <t>E-00067 (EWE) - TEST STATION</t>
  </si>
  <si>
    <t>EVASO</t>
  </si>
  <si>
    <t>POMPA SRL</t>
  </si>
  <si>
    <t>LINEA IDEA JUMBO</t>
  </si>
  <si>
    <t>ELT 4500063513</t>
  </si>
  <si>
    <t>CODE SERVICE</t>
  </si>
  <si>
    <t>CDC-10/50 (GEST. MAG/TRASPORTI)</t>
  </si>
  <si>
    <t>BRUZZONE SHIPPING</t>
  </si>
  <si>
    <t>IN ATTESA DI ORDINE</t>
  </si>
  <si>
    <t>E-00117 (LEONARDO 8000280192)</t>
  </si>
  <si>
    <t>HMEDIA</t>
  </si>
  <si>
    <t>CDC-10/53 (GEST. MAG/MAT MAG)</t>
  </si>
  <si>
    <t>E-00108 (LEONARDO 8000277058)</t>
  </si>
  <si>
    <t>WUERTH ELEKTONIC</t>
  </si>
  <si>
    <t>OFFICINE LAMERA</t>
  </si>
  <si>
    <t>SCRITTO</t>
  </si>
  <si>
    <t>CDC-11/55 (INF TECH/LICENZE SOFTWARE)</t>
  </si>
  <si>
    <t>E-00067 (EWE) TEST STATION</t>
  </si>
  <si>
    <t>CDC-5/21 (DIR PROD / MANUTENZIONE)</t>
  </si>
  <si>
    <t>YAMAZAKY MAZAK</t>
  </si>
  <si>
    <t>CDC-7/35 (STAB/MAT CONSUMO)</t>
  </si>
  <si>
    <t>MILEXIA ITALIA</t>
  </si>
  <si>
    <t>CDC-07/33 (PROD/ATTREZZ)</t>
  </si>
  <si>
    <t>PVR</t>
  </si>
  <si>
    <t>CDC-5/17 (PROD/CONSULENZA)</t>
  </si>
  <si>
    <t>14/03/204</t>
  </si>
  <si>
    <t>E-00106  (ELT 4500062362)</t>
  </si>
  <si>
    <t>E-00112 (ELT 4500062555 COVER DOME)</t>
  </si>
  <si>
    <t>PL EURO SERVICES (PROTOLABS)</t>
  </si>
  <si>
    <t>E-00110 (LEONARDO 1400099687)</t>
  </si>
  <si>
    <t>SHENZEN JINSHENGDA ELECT.</t>
  </si>
  <si>
    <t>MAGAZZINO</t>
  </si>
  <si>
    <t>BAMA</t>
  </si>
  <si>
    <t>MOFLON</t>
  </si>
  <si>
    <t>CDC-5/20 (PROD/ATTR)</t>
  </si>
  <si>
    <t>CDC-10/33 (GEST. MAG/ATTREZZ.)</t>
  </si>
  <si>
    <t>CDC-7/34 (STAB/CANCELLERIA)</t>
  </si>
  <si>
    <t>ELT 4500062246</t>
  </si>
  <si>
    <t>E-00091 (GOMA)</t>
  </si>
  <si>
    <t>(CDC-05/20)</t>
  </si>
  <si>
    <t>(ELT 4500062246)</t>
  </si>
  <si>
    <t>DISTRELEC</t>
  </si>
  <si>
    <t>CDC-11/55 (INF.TECH/LICENZE)</t>
  </si>
  <si>
    <t>(ELT 4500062572)</t>
  </si>
  <si>
    <t>E-00104 (ELT 4500062233)</t>
  </si>
  <si>
    <t>E-00102 (ELT 4500062051)</t>
  </si>
  <si>
    <t>CDC-11/54 (INF. TECH./HARDWARE)</t>
  </si>
  <si>
    <t>ASSELTECH</t>
  </si>
  <si>
    <t>CDC-5/17 (PRODUZ/CONSULENZA)</t>
  </si>
  <si>
    <t>CDC-5/18 (DIR PROD/MAT PROTITIPI)</t>
  </si>
  <si>
    <t>XOMETRY</t>
  </si>
  <si>
    <t>CDC-05/19 (PROD/MAT CONSUMO)</t>
  </si>
  <si>
    <t>CDC-10/53 (GEST. MAG/MAT. A MAG.)</t>
  </si>
  <si>
    <t>E-00103  (ELT 4500061938)</t>
  </si>
  <si>
    <t>E-00072 (LEONARDO 8000253237)</t>
  </si>
  <si>
    <t>TELEFONICA</t>
  </si>
  <si>
    <t>E-00088  (LEONARDO)</t>
  </si>
  <si>
    <t>E-00095  (LEONARDO)</t>
  </si>
  <si>
    <t>CDC-5/20</t>
  </si>
  <si>
    <t>UTOR</t>
  </si>
  <si>
    <t>CDC-05/19</t>
  </si>
  <si>
    <t>I-P0001 (INIZIALE LCTE)</t>
  </si>
  <si>
    <t>ALSCO</t>
  </si>
  <si>
    <t>JAMPEL</t>
  </si>
  <si>
    <t>CDC-11/55 (INF. TECH/LIC. SOFTWARE)</t>
  </si>
  <si>
    <t>CDC-11/54 (INF. TECH/SPESE HARDWARE)</t>
  </si>
  <si>
    <t>I-P0001 (INIZIALE QUIRIS)</t>
  </si>
  <si>
    <t>CDC 5/21 (PROD/MANUT. STRUMENTI)</t>
  </si>
  <si>
    <t>INVESTIMENTO</t>
  </si>
  <si>
    <t>ELT 4500062051</t>
  </si>
  <si>
    <t>AUDIO ASSY</t>
  </si>
  <si>
    <t>CDC-5/17 (PROD/CONSULENZE)</t>
  </si>
  <si>
    <t>CDC-7/34</t>
  </si>
  <si>
    <t>CDC-07/40 (DIR STAB/MANUT IMPIANTI)</t>
  </si>
  <si>
    <t>E-00094 (PANALYTICAL)</t>
  </si>
  <si>
    <t>MAGGIO 2026</t>
  </si>
  <si>
    <t>APRILE 2026</t>
  </si>
  <si>
    <t>MARZO 2026</t>
  </si>
  <si>
    <t>FEBBRAIO 2026</t>
  </si>
  <si>
    <t>GENNAIO 2026</t>
  </si>
  <si>
    <t>DICEMBRE</t>
  </si>
  <si>
    <t>NOVEMBRE</t>
  </si>
  <si>
    <t>OTTOBRE</t>
  </si>
  <si>
    <t>SETTEMBRE</t>
  </si>
  <si>
    <t>AGOSTO</t>
  </si>
  <si>
    <t>LUGLIO</t>
  </si>
  <si>
    <t>GIUGNO</t>
  </si>
  <si>
    <t>MAGGIO</t>
  </si>
  <si>
    <t>APRILE</t>
  </si>
  <si>
    <t>MARZO</t>
  </si>
  <si>
    <t>VALUTA GBP</t>
  </si>
  <si>
    <t>CONFERMA</t>
  </si>
  <si>
    <t>STATO</t>
  </si>
  <si>
    <t>JOB / CDC</t>
  </si>
  <si>
    <t>DATA EFFETTIVA</t>
  </si>
  <si>
    <t>DATA CONFERMAYA</t>
  </si>
  <si>
    <t>DATA RICHIESTA</t>
  </si>
  <si>
    <t>IMP. TOT. EVASO</t>
  </si>
  <si>
    <t>IMP. TOT. DA EVADERE</t>
  </si>
  <si>
    <t>IMPORTO TOTALE</t>
  </si>
  <si>
    <t>FORNITORE</t>
  </si>
  <si>
    <t>DATA</t>
  </si>
  <si>
    <t>NUMERO</t>
  </si>
  <si>
    <t>OPERATORE</t>
  </si>
  <si>
    <t>VALUTA CAMBIO GBP AL 31/08/2025:</t>
  </si>
  <si>
    <t>VALUTA CAMBIO USD AL 31/03/2025:</t>
  </si>
  <si>
    <t>ORDINI ELTHUB - EVASI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</si>
</sst>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</numFmts>
  <fonts count="1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indexed="4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D6B5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5E6F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4">
    <xf numFmtId="0" fontId="0" fillId="0" borderId="0"/>
    <xf numFmtId="4" fontId="3" fillId="3" borderId="2" applyNumberFormat="0" applyProtection="0">
      <alignment horizontal="left" vertical="center" indent="1"/>
    </xf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113">
    <xf numFmtId="0" fontId="0" fillId="0" borderId="0" xfId="0"/>
    <xf numFmtId="0" fontId="4" fillId="4" borderId="1" xfId="1" quotePrefix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1" quotePrefix="1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1" xfId="0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wrapText="1"/>
    </xf>
    <xf numFmtId="0" fontId="4" fillId="0" borderId="1" xfId="1" quotePrefix="1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14" fontId="0" fillId="5" borderId="1" xfId="0" applyNumberFormat="1" applyFill="1" applyBorder="1" applyAlignment="1">
      <alignment horizontal="center" vertical="center"/>
    </xf>
    <xf numFmtId="0" fontId="0" fillId="11" borderId="0" xfId="0" applyFill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10" fillId="11" borderId="0" xfId="0" applyFont="1" applyFill="1"/>
    <xf numFmtId="44" fontId="0" fillId="0" borderId="0" xfId="3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12" borderId="0" xfId="0" applyNumberFormat="1" applyFill="1" applyAlignment="1">
      <alignment horizontal="center"/>
    </xf>
    <xf numFmtId="44" fontId="0" fillId="0" borderId="0" xfId="3" applyFont="1" applyFill="1" applyAlignment="1">
      <alignment horizontal="center"/>
    </xf>
    <xf numFmtId="0" fontId="0" fillId="12" borderId="0" xfId="0" applyFill="1"/>
    <xf numFmtId="44" fontId="0" fillId="0" borderId="0" xfId="0" applyNumberFormat="1"/>
    <xf numFmtId="14" fontId="12" fillId="0" borderId="0" xfId="0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164" fontId="0" fillId="12" borderId="0" xfId="0" applyNumberFormat="1" applyFill="1" applyAlignment="1">
      <alignment horizontal="center"/>
    </xf>
    <xf numFmtId="164" fontId="0" fillId="12" borderId="0" xfId="0" applyNumberFormat="1" applyFill="1" applyAlignment="1">
      <alignment horizontal="right"/>
    </xf>
    <xf numFmtId="4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12" fillId="0" borderId="0" xfId="0" applyFont="1" applyAlignment="1">
      <alignment horizontal="center"/>
    </xf>
    <xf numFmtId="44" fontId="0" fillId="1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44" fontId="0" fillId="13" borderId="0" xfId="3" applyFont="1" applyFill="1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3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13" borderId="0" xfId="0" applyNumberFormat="1" applyFill="1" applyAlignment="1">
      <alignment horizontal="center"/>
    </xf>
    <xf numFmtId="0" fontId="13" fillId="0" borderId="0" xfId="0" applyFont="1" applyAlignment="1">
      <alignment horizontal="center"/>
    </xf>
    <xf numFmtId="44" fontId="0" fillId="12" borderId="0" xfId="3" applyFont="1" applyFill="1" applyAlignment="1">
      <alignment horizontal="center"/>
    </xf>
    <xf numFmtId="44" fontId="0" fillId="14" borderId="0" xfId="0" applyNumberFormat="1" applyFill="1" applyAlignment="1">
      <alignment horizontal="center"/>
    </xf>
    <xf numFmtId="164" fontId="0" fillId="13" borderId="0" xfId="0" applyNumberFormat="1" applyFill="1" applyAlignment="1">
      <alignment horizontal="right"/>
    </xf>
    <xf numFmtId="0" fontId="0" fillId="15" borderId="0" xfId="0" applyFill="1" applyAlignment="1">
      <alignment horizontal="center"/>
    </xf>
    <xf numFmtId="14" fontId="0" fillId="15" borderId="0" xfId="0" applyNumberFormat="1" applyFill="1" applyAlignment="1">
      <alignment horizontal="center"/>
    </xf>
    <xf numFmtId="44" fontId="0" fillId="15" borderId="0" xfId="3" applyFont="1" applyFill="1" applyAlignment="1">
      <alignment horizontal="center"/>
    </xf>
    <xf numFmtId="14" fontId="13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44" fontId="8" fillId="0" borderId="0" xfId="3" applyFont="1" applyFill="1" applyAlignment="1">
      <alignment horizontal="center"/>
    </xf>
    <xf numFmtId="0" fontId="8" fillId="0" borderId="0" xfId="0" applyFont="1" applyAlignment="1">
      <alignment horizontal="center"/>
    </xf>
    <xf numFmtId="44" fontId="0" fillId="0" borderId="0" xfId="0" applyNumberFormat="1" applyAlignment="1">
      <alignment horizontal="right"/>
    </xf>
    <xf numFmtId="44" fontId="0" fillId="14" borderId="0" xfId="3" applyFont="1" applyFill="1" applyAlignment="1">
      <alignment horizontal="center"/>
    </xf>
    <xf numFmtId="44" fontId="0" fillId="12" borderId="0" xfId="3" applyFont="1" applyFill="1" applyAlignment="1">
      <alignment horizontal="right"/>
    </xf>
    <xf numFmtId="4" fontId="0" fillId="0" borderId="0" xfId="3" applyNumberFormat="1" applyFont="1" applyFill="1" applyAlignment="1">
      <alignment horizontal="center"/>
    </xf>
    <xf numFmtId="17" fontId="0" fillId="12" borderId="0" xfId="0" quotePrefix="1" applyNumberFormat="1" applyFill="1" applyAlignment="1">
      <alignment horizontal="center"/>
    </xf>
    <xf numFmtId="44" fontId="0" fillId="13" borderId="0" xfId="0" quotePrefix="1" applyNumberFormat="1" applyFill="1" applyAlignment="1">
      <alignment horizontal="center"/>
    </xf>
    <xf numFmtId="164" fontId="0" fillId="12" borderId="0" xfId="0" quotePrefix="1" applyNumberFormat="1" applyFill="1" applyAlignment="1">
      <alignment horizontal="right"/>
    </xf>
    <xf numFmtId="44" fontId="0" fillId="12" borderId="0" xfId="0" quotePrefix="1" applyNumberFormat="1" applyFill="1" applyAlignment="1">
      <alignment horizontal="center"/>
    </xf>
    <xf numFmtId="164" fontId="0" fillId="12" borderId="0" xfId="0" quotePrefix="1" applyNumberFormat="1" applyFill="1" applyAlignment="1">
      <alignment horizontal="center"/>
    </xf>
    <xf numFmtId="164" fontId="0" fillId="14" borderId="0" xfId="0" applyNumberFormat="1" applyFill="1" applyAlignment="1">
      <alignment horizontal="center"/>
    </xf>
    <xf numFmtId="164" fontId="0" fillId="0" borderId="0" xfId="3" applyNumberFormat="1" applyFont="1" applyAlignment="1">
      <alignment horizontal="right"/>
    </xf>
    <xf numFmtId="44" fontId="0" fillId="0" borderId="0" xfId="3" applyFont="1" applyAlignment="1">
      <alignment horizontal="right"/>
    </xf>
    <xf numFmtId="44" fontId="12" fillId="12" borderId="0" xfId="3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14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44" fontId="0" fillId="16" borderId="0" xfId="3" applyFont="1" applyFill="1" applyAlignment="1">
      <alignment horizontal="center"/>
    </xf>
    <xf numFmtId="164" fontId="0" fillId="0" borderId="0" xfId="3" applyNumberFormat="1" applyFont="1" applyFill="1" applyAlignment="1">
      <alignment horizontal="center"/>
    </xf>
    <xf numFmtId="44" fontId="0" fillId="0" borderId="0" xfId="3" applyFont="1" applyFill="1" applyAlignment="1">
      <alignment horizontal="right"/>
    </xf>
    <xf numFmtId="164" fontId="0" fillId="12" borderId="0" xfId="3" applyNumberFormat="1" applyFont="1" applyFill="1" applyAlignment="1">
      <alignment horizontal="center"/>
    </xf>
    <xf numFmtId="2" fontId="0" fillId="0" borderId="0" xfId="3" applyNumberFormat="1" applyFont="1" applyFill="1" applyAlignment="1">
      <alignment horizontal="center"/>
    </xf>
    <xf numFmtId="44" fontId="12" fillId="12" borderId="0" xfId="0" applyNumberFormat="1" applyFont="1" applyFill="1" applyAlignment="1">
      <alignment horizontal="right"/>
    </xf>
    <xf numFmtId="164" fontId="12" fillId="12" borderId="0" xfId="0" applyNumberFormat="1" applyFont="1" applyFill="1" applyAlignment="1">
      <alignment horizontal="center"/>
    </xf>
    <xf numFmtId="2" fontId="0" fillId="12" borderId="0" xfId="0" applyNumberFormat="1" applyFill="1"/>
    <xf numFmtId="2" fontId="0" fillId="0" borderId="0" xfId="0" applyNumberFormat="1"/>
    <xf numFmtId="4" fontId="0" fillId="0" borderId="0" xfId="0" applyNumberFormat="1" applyAlignment="1">
      <alignment horizontal="center"/>
    </xf>
    <xf numFmtId="2" fontId="0" fillId="12" borderId="0" xfId="0" applyNumberFormat="1" applyFill="1" applyAlignment="1">
      <alignment horizontal="center"/>
    </xf>
    <xf numFmtId="0" fontId="14" fillId="0" borderId="0" xfId="0" applyFont="1" applyAlignment="1">
      <alignment horizontal="center"/>
    </xf>
    <xf numFmtId="43" fontId="11" fillId="0" borderId="0" xfId="2" applyFont="1" applyFill="1" applyAlignment="1">
      <alignment horizontal="right"/>
    </xf>
    <xf numFmtId="14" fontId="0" fillId="0" borderId="0" xfId="3" applyNumberFormat="1" applyFont="1" applyAlignment="1">
      <alignment horizontal="center"/>
    </xf>
    <xf numFmtId="0" fontId="0" fillId="17" borderId="0" xfId="0" applyFill="1" applyAlignment="1">
      <alignment horizontal="center"/>
    </xf>
    <xf numFmtId="14" fontId="0" fillId="17" borderId="0" xfId="0" applyNumberFormat="1" applyFill="1" applyAlignment="1">
      <alignment horizontal="center"/>
    </xf>
    <xf numFmtId="44" fontId="0" fillId="17" borderId="0" xfId="3" applyFont="1" applyFill="1" applyAlignment="1">
      <alignment horizontal="center"/>
    </xf>
    <xf numFmtId="0" fontId="15" fillId="0" borderId="0" xfId="0" applyFont="1" applyAlignment="1">
      <alignment horizontal="center"/>
    </xf>
    <xf numFmtId="44" fontId="11" fillId="0" borderId="0" xfId="3" applyFont="1" applyFill="1" applyAlignment="1">
      <alignment horizontal="center"/>
    </xf>
    <xf numFmtId="0" fontId="16" fillId="0" borderId="0" xfId="0" applyFont="1" applyAlignment="1">
      <alignment horizontal="center"/>
    </xf>
    <xf numFmtId="4" fontId="0" fillId="0" borderId="0" xfId="0" applyNumberFormat="1"/>
    <xf numFmtId="44" fontId="0" fillId="0" borderId="0" xfId="3" applyFont="1" applyFill="1" applyBorder="1" applyAlignment="1">
      <alignment horizontal="center"/>
    </xf>
    <xf numFmtId="44" fontId="0" fillId="0" borderId="0" xfId="3" applyFont="1" applyBorder="1" applyAlignment="1">
      <alignment horizontal="center"/>
    </xf>
    <xf numFmtId="0" fontId="12" fillId="0" borderId="0" xfId="0" applyFont="1"/>
    <xf numFmtId="49" fontId="12" fillId="0" borderId="0" xfId="0" applyNumberFormat="1" applyFont="1"/>
    <xf numFmtId="0" fontId="12" fillId="0" borderId="0" xfId="0" applyFont="1" applyAlignment="1" applyProtection="1">
      <alignment horizontal="center"/>
      <protection locked="0"/>
    </xf>
    <xf numFmtId="2" fontId="12" fillId="18" borderId="0" xfId="0" applyNumberFormat="1" applyFont="1" applyFill="1" applyAlignment="1" applyProtection="1">
      <alignment horizontal="center"/>
      <protection locked="0"/>
    </xf>
    <xf numFmtId="2" fontId="12" fillId="13" borderId="0" xfId="0" applyNumberFormat="1" applyFont="1" applyFill="1" applyAlignment="1" applyProtection="1">
      <alignment horizontal="center"/>
      <protection locked="0"/>
    </xf>
    <xf numFmtId="14" fontId="12" fillId="0" borderId="0" xfId="0" applyNumberFormat="1" applyFont="1" applyAlignment="1" applyProtection="1">
      <alignment horizontal="center"/>
      <protection locked="0"/>
    </xf>
    <xf numFmtId="44" fontId="12" fillId="0" borderId="0" xfId="3" applyFont="1" applyAlignment="1" applyProtection="1">
      <alignment horizontal="center"/>
      <protection locked="0"/>
    </xf>
    <xf numFmtId="0" fontId="0" fillId="0" borderId="0" xfId="0" applyAlignment="1">
      <alignment horizontal="right"/>
    </xf>
    <xf numFmtId="44" fontId="12" fillId="0" borderId="0" xfId="3" applyFont="1" applyAlignment="1">
      <alignment horizontal="center"/>
    </xf>
    <xf numFmtId="0" fontId="17" fillId="0" borderId="0" xfId="0" applyFont="1" applyAlignment="1">
      <alignment horizontal="left"/>
    </xf>
  </cellXfs>
  <cellStyles count="4">
    <cellStyle name="Migliaia" xfId="2" builtinId="3"/>
    <cellStyle name="Normale" xfId="0" builtinId="0"/>
    <cellStyle name="SAPBEXstdItem" xfId="1" xr:uid="{20087BE6-6245-43DD-AC2F-1D50989D32C3}"/>
    <cellStyle name="Valuta" xfId="3" builtinId="4"/>
  </cellStyles>
  <dxfs count="0"/>
  <tableStyles count="0" defaultTableStyle="TableStyleMedium2" defaultPivotStyle="PivotStyleLight16"/>
  <colors>
    <mruColors>
      <color rgb="FFFF99FF"/>
      <color rgb="FFED6B5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GESTIONE%20ORDINI%20-%20ELTHUB%20(4).xlsx" TargetMode="External"/><Relationship Id="rId2" Type="http://schemas.openxmlformats.org/officeDocument/2006/relationships/externalLinkPath" Target="file:///C:\Users\riccardo.dibiagio\Downloads\GESTIONE%20ORDINI%20-%20ELTHUB%20(4).xlsx" TargetMode="External"/><Relationship Id="rId1" Type="http://schemas.openxmlformats.org/officeDocument/2006/relationships/externalLinkPath" Target="/Users/riccardo.dibiagio/Downloads/GESTIONE%20ORDINI%20-%20ELTHUB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DINI COMMESSE E VARIE"/>
      <sheetName val="ORDINI EVASI"/>
      <sheetName val="INVESTIMENTI (301) - 2025"/>
      <sheetName val="INVESTIMENTI (301) - 2026"/>
      <sheetName val="Foglio3"/>
      <sheetName val="KPI Fornitori (3)"/>
    </sheetNames>
    <sheetDataSet>
      <sheetData sheetId="0">
        <row r="2">
          <cell r="N2">
            <v>0.87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25E8-E88C-467E-AE22-D1FA4E313002}">
  <dimension ref="A1:AJ1419"/>
  <sheetViews>
    <sheetView zoomScale="85" zoomScaleNormal="85" workbookViewId="0">
      <pane ySplit="5" topLeftCell="A258" activePane="bottomLeft" state="frozen"/>
      <selection pane="bottomLeft" activeCell="K12" sqref="K12"/>
    </sheetView>
  </sheetViews>
  <sheetFormatPr defaultRowHeight="15" x14ac:dyDescent="0.25"/>
  <cols>
    <col min="1" max="1" width="11" style="5" customWidth="1"/>
    <col min="2" max="2" width="16.140625" style="5" customWidth="1"/>
    <col min="3" max="3" width="14.7109375" style="34" customWidth="1"/>
    <col min="4" max="4" width="28.5703125" style="5" customWidth="1"/>
    <col min="5" max="5" width="19.42578125" style="33" customWidth="1"/>
    <col min="6" max="6" width="23.85546875" style="5" customWidth="1"/>
    <col min="7" max="7" width="20.5703125" customWidth="1"/>
    <col min="8" max="10" width="17.28515625" style="5" customWidth="1"/>
    <col min="11" max="11" width="41.28515625" style="5" customWidth="1"/>
    <col min="12" max="12" width="14.7109375" style="5" customWidth="1"/>
    <col min="13" max="13" width="15.7109375" style="5" customWidth="1"/>
    <col min="14" max="14" width="40.42578125" customWidth="1"/>
    <col min="15" max="15" width="17.140625" style="5" customWidth="1"/>
    <col min="16" max="16" width="16.140625" style="5" customWidth="1"/>
    <col min="17" max="17" width="13.28515625" style="5" customWidth="1"/>
    <col min="18" max="18" width="12.85546875" style="5" customWidth="1"/>
    <col min="19" max="19" width="13" style="5" customWidth="1"/>
    <col min="20" max="20" width="15" style="5" customWidth="1"/>
    <col min="21" max="21" width="12.85546875" style="5" customWidth="1"/>
    <col min="22" max="22" width="14" style="5" customWidth="1"/>
    <col min="23" max="23" width="18.140625" style="5" customWidth="1"/>
    <col min="24" max="24" width="17" style="5" customWidth="1"/>
    <col min="25" max="25" width="17.42578125" style="5" customWidth="1"/>
    <col min="26" max="26" width="19" style="5" customWidth="1"/>
    <col min="27" max="27" width="15.7109375" customWidth="1"/>
    <col min="28" max="28" width="17.140625" customWidth="1"/>
    <col min="29" max="29" width="16.140625" customWidth="1"/>
    <col min="30" max="30" width="15.42578125" customWidth="1"/>
    <col min="31" max="31" width="15.7109375" customWidth="1"/>
  </cols>
  <sheetData>
    <row r="1" spans="1:32" ht="18.75" x14ac:dyDescent="0.3">
      <c r="A1" s="112" t="s">
        <v>964</v>
      </c>
    </row>
    <row r="2" spans="1:32" x14ac:dyDescent="0.25">
      <c r="E2" s="111">
        <f>SUM(E6:E1318)</f>
        <v>4366334.1812999975</v>
      </c>
      <c r="F2" s="111">
        <f>SUM(F6:F1318)</f>
        <v>-9.7000000011746579E-3</v>
      </c>
      <c r="G2" s="111">
        <f>SUM(G6:G1318)</f>
        <v>4366334.1909999978</v>
      </c>
      <c r="N2" s="110" t="s">
        <v>963</v>
      </c>
      <c r="O2" s="47">
        <v>0.93</v>
      </c>
    </row>
    <row r="3" spans="1:32" x14ac:dyDescent="0.25">
      <c r="E3" s="111"/>
      <c r="F3" s="111"/>
      <c r="G3" s="111"/>
      <c r="N3" s="110" t="s">
        <v>962</v>
      </c>
      <c r="O3" s="47">
        <v>1.1499999999999999</v>
      </c>
      <c r="Q3" s="40">
        <f>SUM(Q6:Q1347)</f>
        <v>130967.16</v>
      </c>
      <c r="R3" s="40">
        <f>SUM(R6:R1347)</f>
        <v>131366.78</v>
      </c>
      <c r="S3" s="40">
        <f>SUM(S6:S1347)</f>
        <v>159104.79999999999</v>
      </c>
      <c r="T3" s="40">
        <f>SUM(T6:T1347)</f>
        <v>368481.16000000009</v>
      </c>
      <c r="U3" s="40">
        <f>SUM(U6:U1347)</f>
        <v>195029.62999999998</v>
      </c>
      <c r="V3" s="40">
        <f>SUM(V6:V1347)</f>
        <v>434341.94</v>
      </c>
      <c r="W3" s="40">
        <f>SUM(W6:W1347)</f>
        <v>181121.11999999997</v>
      </c>
      <c r="X3" s="40">
        <f>SUM(X6:X1347)</f>
        <v>260363.97999999998</v>
      </c>
      <c r="Y3" s="40">
        <f>SUM(Y6:Y1347)</f>
        <v>236237.82</v>
      </c>
      <c r="Z3" s="40">
        <f>SUM(Z6:Z1347)</f>
        <v>256136.96999999994</v>
      </c>
      <c r="AA3" s="40">
        <f>SUM(AA6:AA1347)</f>
        <v>90871.040000000008</v>
      </c>
      <c r="AB3" s="40">
        <f>SUM(AB6:AB1347)</f>
        <v>42405.83</v>
      </c>
      <c r="AC3" s="40">
        <f>SUM(AC6:AC1347)</f>
        <v>0</v>
      </c>
      <c r="AD3" s="40">
        <f>SUM(AD6:AD1347)</f>
        <v>0</v>
      </c>
      <c r="AE3" s="40">
        <f>SUM(AE6:AE1347)</f>
        <v>0</v>
      </c>
      <c r="AF3" s="40"/>
    </row>
    <row r="5" spans="1:32" s="103" customFormat="1" x14ac:dyDescent="0.25">
      <c r="A5" s="45" t="s">
        <v>961</v>
      </c>
      <c r="B5" s="105" t="s">
        <v>960</v>
      </c>
      <c r="C5" s="108" t="s">
        <v>959</v>
      </c>
      <c r="D5" s="105" t="s">
        <v>958</v>
      </c>
      <c r="E5" s="109" t="s">
        <v>957</v>
      </c>
      <c r="F5" s="109" t="s">
        <v>956</v>
      </c>
      <c r="G5" s="109" t="s">
        <v>955</v>
      </c>
      <c r="H5" s="108" t="s">
        <v>954</v>
      </c>
      <c r="I5" s="108" t="s">
        <v>953</v>
      </c>
      <c r="J5" s="108" t="s">
        <v>952</v>
      </c>
      <c r="K5" s="105" t="s">
        <v>951</v>
      </c>
      <c r="L5" s="105" t="s">
        <v>950</v>
      </c>
      <c r="M5" s="105" t="s">
        <v>949</v>
      </c>
      <c r="N5" s="105" t="s">
        <v>4</v>
      </c>
      <c r="O5" s="107" t="s">
        <v>715</v>
      </c>
      <c r="P5" s="106" t="s">
        <v>948</v>
      </c>
      <c r="Q5" s="105" t="s">
        <v>947</v>
      </c>
      <c r="R5" s="105" t="s">
        <v>946</v>
      </c>
      <c r="S5" s="105" t="s">
        <v>945</v>
      </c>
      <c r="T5" s="105" t="s">
        <v>944</v>
      </c>
      <c r="U5" s="105" t="s">
        <v>943</v>
      </c>
      <c r="V5" s="105" t="s">
        <v>942</v>
      </c>
      <c r="W5" s="105" t="s">
        <v>941</v>
      </c>
      <c r="X5" s="105" t="s">
        <v>940</v>
      </c>
      <c r="Y5" s="105" t="s">
        <v>939</v>
      </c>
      <c r="Z5" s="105" t="s">
        <v>938</v>
      </c>
      <c r="AA5" s="104" t="s">
        <v>937</v>
      </c>
      <c r="AB5" s="104" t="s">
        <v>936</v>
      </c>
      <c r="AC5" s="104" t="s">
        <v>935</v>
      </c>
      <c r="AD5" s="104" t="s">
        <v>934</v>
      </c>
      <c r="AE5" s="104" t="s">
        <v>933</v>
      </c>
    </row>
    <row r="6" spans="1:32" s="103" customFormat="1" x14ac:dyDescent="0.25">
      <c r="A6" s="45"/>
      <c r="B6" s="5">
        <v>38</v>
      </c>
      <c r="C6" s="34">
        <v>45309</v>
      </c>
      <c r="D6" s="5" t="s">
        <v>508</v>
      </c>
      <c r="E6" s="98">
        <v>165</v>
      </c>
      <c r="F6" s="36">
        <f>E6-G6</f>
        <v>0</v>
      </c>
      <c r="G6" s="98">
        <v>165</v>
      </c>
      <c r="H6" s="45"/>
      <c r="I6" s="45"/>
      <c r="J6" s="45"/>
      <c r="K6" s="5" t="s">
        <v>742</v>
      </c>
      <c r="L6" s="5" t="s">
        <v>859</v>
      </c>
      <c r="M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32" x14ac:dyDescent="0.25">
      <c r="B7" s="5">
        <v>41</v>
      </c>
      <c r="C7" s="34">
        <v>45313</v>
      </c>
      <c r="D7" s="5" t="s">
        <v>537</v>
      </c>
      <c r="E7" s="38">
        <v>263.26</v>
      </c>
      <c r="F7" s="36">
        <f>E7-G7</f>
        <v>0</v>
      </c>
      <c r="G7" s="38">
        <v>263.26</v>
      </c>
      <c r="K7" s="5" t="s">
        <v>598</v>
      </c>
      <c r="L7" s="5" t="s">
        <v>859</v>
      </c>
    </row>
    <row r="8" spans="1:32" x14ac:dyDescent="0.25">
      <c r="B8" s="5">
        <v>42</v>
      </c>
      <c r="C8" s="34">
        <v>45313</v>
      </c>
      <c r="D8" s="5" t="s">
        <v>537</v>
      </c>
      <c r="E8" s="38">
        <v>454.92</v>
      </c>
      <c r="F8" s="36">
        <f>E8-G8</f>
        <v>0</v>
      </c>
      <c r="G8" s="38">
        <v>454.92</v>
      </c>
      <c r="H8" s="34"/>
      <c r="I8" s="34"/>
      <c r="J8" s="34"/>
      <c r="K8" s="5" t="s">
        <v>737</v>
      </c>
      <c r="L8" s="5" t="s">
        <v>859</v>
      </c>
      <c r="M8" s="45"/>
      <c r="N8" s="45"/>
    </row>
    <row r="9" spans="1:32" x14ac:dyDescent="0.25">
      <c r="B9" s="5">
        <v>44</v>
      </c>
      <c r="C9" s="34">
        <v>45313</v>
      </c>
      <c r="D9" s="5" t="s">
        <v>537</v>
      </c>
      <c r="E9" s="38">
        <v>89.32</v>
      </c>
      <c r="F9" s="36">
        <f>E9-G9</f>
        <v>0</v>
      </c>
      <c r="G9" s="38">
        <v>89.32</v>
      </c>
      <c r="K9" s="5" t="s">
        <v>896</v>
      </c>
      <c r="L9" s="5" t="s">
        <v>859</v>
      </c>
    </row>
    <row r="10" spans="1:32" x14ac:dyDescent="0.25">
      <c r="B10" s="5">
        <v>45</v>
      </c>
      <c r="C10" s="34">
        <v>45313</v>
      </c>
      <c r="D10" s="5" t="s">
        <v>328</v>
      </c>
      <c r="E10" s="38">
        <v>77.88</v>
      </c>
      <c r="F10" s="36">
        <f>E10-G10</f>
        <v>0</v>
      </c>
      <c r="G10" s="38">
        <v>77.88</v>
      </c>
      <c r="K10" s="5" t="s">
        <v>932</v>
      </c>
      <c r="L10" s="5" t="s">
        <v>859</v>
      </c>
    </row>
    <row r="11" spans="1:32" x14ac:dyDescent="0.25">
      <c r="B11" s="5">
        <v>414</v>
      </c>
      <c r="C11" s="34">
        <v>45278</v>
      </c>
      <c r="D11" s="5" t="s">
        <v>426</v>
      </c>
      <c r="E11" s="101">
        <v>570</v>
      </c>
      <c r="F11" s="36">
        <f>E11-G11</f>
        <v>0</v>
      </c>
      <c r="G11" s="101">
        <v>570</v>
      </c>
      <c r="K11" s="5" t="s">
        <v>931</v>
      </c>
      <c r="L11" s="5" t="s">
        <v>859</v>
      </c>
    </row>
    <row r="12" spans="1:32" x14ac:dyDescent="0.25">
      <c r="B12" s="5">
        <v>432</v>
      </c>
      <c r="C12" s="34">
        <v>45288</v>
      </c>
      <c r="D12" s="5" t="s">
        <v>23</v>
      </c>
      <c r="E12" s="101">
        <v>2420.86</v>
      </c>
      <c r="F12" s="36">
        <f>E12-G12</f>
        <v>0</v>
      </c>
      <c r="G12" s="101">
        <v>2420.86</v>
      </c>
      <c r="K12" s="5" t="s">
        <v>598</v>
      </c>
      <c r="L12" s="5" t="s">
        <v>859</v>
      </c>
    </row>
    <row r="13" spans="1:32" x14ac:dyDescent="0.25">
      <c r="B13" s="5">
        <v>7</v>
      </c>
      <c r="C13" s="34">
        <v>45303</v>
      </c>
      <c r="D13" s="5" t="s">
        <v>370</v>
      </c>
      <c r="E13" s="36">
        <v>1213.8699999999999</v>
      </c>
      <c r="F13" s="36">
        <f>E13-G13</f>
        <v>0</v>
      </c>
      <c r="G13" s="36">
        <v>1213.8699999999999</v>
      </c>
      <c r="K13" s="5" t="s">
        <v>930</v>
      </c>
      <c r="L13" s="5" t="s">
        <v>859</v>
      </c>
    </row>
    <row r="14" spans="1:32" x14ac:dyDescent="0.25">
      <c r="B14" s="5">
        <v>11</v>
      </c>
      <c r="C14" s="34">
        <v>45300</v>
      </c>
      <c r="D14" s="5" t="s">
        <v>404</v>
      </c>
      <c r="E14" s="38">
        <v>4543.01</v>
      </c>
      <c r="F14" s="36">
        <f>E14-G14</f>
        <v>0</v>
      </c>
      <c r="G14" s="38">
        <v>4543.01</v>
      </c>
      <c r="K14" s="5" t="s">
        <v>686</v>
      </c>
      <c r="L14" s="5" t="s">
        <v>859</v>
      </c>
    </row>
    <row r="15" spans="1:32" x14ac:dyDescent="0.25">
      <c r="B15" s="5">
        <v>419</v>
      </c>
      <c r="C15" s="34">
        <v>45279</v>
      </c>
      <c r="D15" s="5" t="s">
        <v>300</v>
      </c>
      <c r="E15" s="101">
        <v>445.4</v>
      </c>
      <c r="F15" s="36">
        <f>E15-G15</f>
        <v>0</v>
      </c>
      <c r="G15" s="101">
        <v>445.4</v>
      </c>
      <c r="K15" s="5" t="s">
        <v>737</v>
      </c>
      <c r="L15" s="5" t="s">
        <v>859</v>
      </c>
    </row>
    <row r="16" spans="1:32" x14ac:dyDescent="0.25">
      <c r="B16" s="5">
        <v>427</v>
      </c>
      <c r="C16" s="34">
        <v>45282</v>
      </c>
      <c r="D16" s="5" t="s">
        <v>347</v>
      </c>
      <c r="E16" s="36">
        <v>5055</v>
      </c>
      <c r="F16" s="36">
        <f>E16-G16</f>
        <v>0</v>
      </c>
      <c r="G16" s="36">
        <v>5055</v>
      </c>
      <c r="H16" s="34">
        <v>45320</v>
      </c>
      <c r="I16" s="34"/>
      <c r="J16" s="34"/>
      <c r="K16" s="5" t="s">
        <v>598</v>
      </c>
      <c r="L16" s="5" t="s">
        <v>859</v>
      </c>
      <c r="M16" s="5" t="s">
        <v>308</v>
      </c>
      <c r="N16" s="5"/>
    </row>
    <row r="17" spans="2:15" x14ac:dyDescent="0.25">
      <c r="B17" s="5">
        <v>36</v>
      </c>
      <c r="C17" s="34">
        <v>45309</v>
      </c>
      <c r="D17" s="5" t="s">
        <v>300</v>
      </c>
      <c r="E17" s="33">
        <v>115.5</v>
      </c>
      <c r="F17" s="36">
        <f>E17-G17</f>
        <v>0</v>
      </c>
      <c r="G17" s="33">
        <v>115.5</v>
      </c>
      <c r="H17" s="34">
        <v>45322</v>
      </c>
      <c r="I17" s="34"/>
      <c r="J17" s="34"/>
      <c r="K17" s="5" t="s">
        <v>896</v>
      </c>
      <c r="L17" s="5" t="s">
        <v>859</v>
      </c>
    </row>
    <row r="18" spans="2:15" x14ac:dyDescent="0.25">
      <c r="B18" s="5">
        <v>47</v>
      </c>
      <c r="C18" s="34">
        <v>45315</v>
      </c>
      <c r="D18" s="5" t="s">
        <v>307</v>
      </c>
      <c r="E18" s="101">
        <v>81.849999999999994</v>
      </c>
      <c r="F18" s="36">
        <f>E18-G18</f>
        <v>0</v>
      </c>
      <c r="G18" s="101">
        <v>81.849999999999994</v>
      </c>
      <c r="H18" s="34">
        <v>45321</v>
      </c>
      <c r="I18" s="34"/>
      <c r="J18" s="34"/>
      <c r="K18" s="5" t="s">
        <v>569</v>
      </c>
      <c r="L18" s="5" t="s">
        <v>859</v>
      </c>
      <c r="M18" s="5" t="s">
        <v>308</v>
      </c>
      <c r="N18" s="5"/>
    </row>
    <row r="19" spans="2:15" x14ac:dyDescent="0.25">
      <c r="B19" s="5">
        <v>49</v>
      </c>
      <c r="C19" s="34">
        <v>45317</v>
      </c>
      <c r="D19" s="5" t="s">
        <v>23</v>
      </c>
      <c r="E19" s="36">
        <v>227.57</v>
      </c>
      <c r="F19" s="36">
        <f>E19-G19</f>
        <v>0</v>
      </c>
      <c r="G19" s="36">
        <v>227.57</v>
      </c>
      <c r="H19" s="34">
        <v>45322</v>
      </c>
      <c r="I19" s="34"/>
      <c r="J19" s="34"/>
      <c r="K19" s="5" t="s">
        <v>742</v>
      </c>
      <c r="L19" s="5" t="s">
        <v>309</v>
      </c>
      <c r="M19" s="5" t="s">
        <v>308</v>
      </c>
      <c r="N19" s="5"/>
    </row>
    <row r="20" spans="2:15" x14ac:dyDescent="0.25">
      <c r="B20" s="5">
        <v>16</v>
      </c>
      <c r="C20" s="34">
        <v>45301</v>
      </c>
      <c r="D20" s="5" t="s">
        <v>470</v>
      </c>
      <c r="E20" s="38">
        <v>1800</v>
      </c>
      <c r="F20" s="36">
        <f>E20-G20</f>
        <v>0</v>
      </c>
      <c r="G20" s="38">
        <v>1800</v>
      </c>
      <c r="H20" s="34">
        <v>45322</v>
      </c>
      <c r="I20" s="34"/>
      <c r="J20" s="34"/>
      <c r="K20" s="5" t="s">
        <v>929</v>
      </c>
      <c r="L20" s="5" t="s">
        <v>309</v>
      </c>
      <c r="M20" s="5" t="s">
        <v>822</v>
      </c>
      <c r="N20" s="5"/>
    </row>
    <row r="21" spans="2:15" x14ac:dyDescent="0.25">
      <c r="B21" s="5">
        <v>56</v>
      </c>
      <c r="C21" s="34">
        <v>45321</v>
      </c>
      <c r="D21" s="5" t="s">
        <v>307</v>
      </c>
      <c r="E21" s="36">
        <v>110.34</v>
      </c>
      <c r="F21" s="36">
        <f>E21-G21</f>
        <v>0</v>
      </c>
      <c r="G21" s="36">
        <v>110.34</v>
      </c>
      <c r="H21" s="34">
        <v>45323</v>
      </c>
      <c r="I21" s="34"/>
      <c r="J21" s="34"/>
      <c r="K21" s="5" t="s">
        <v>928</v>
      </c>
      <c r="L21" s="5" t="s">
        <v>309</v>
      </c>
      <c r="M21" s="5" t="s">
        <v>308</v>
      </c>
      <c r="N21" s="5"/>
    </row>
    <row r="22" spans="2:15" x14ac:dyDescent="0.25">
      <c r="B22" s="5">
        <v>54</v>
      </c>
      <c r="C22" s="34">
        <v>45321</v>
      </c>
      <c r="D22" s="5" t="s">
        <v>328</v>
      </c>
      <c r="E22" s="36">
        <v>382.52</v>
      </c>
      <c r="F22" s="36">
        <f>E22-G22</f>
        <v>0</v>
      </c>
      <c r="G22" s="36">
        <v>382.52</v>
      </c>
      <c r="H22" s="34">
        <v>45323</v>
      </c>
      <c r="I22" s="34"/>
      <c r="J22" s="34"/>
      <c r="K22" s="5" t="s">
        <v>928</v>
      </c>
      <c r="L22" s="5" t="s">
        <v>309</v>
      </c>
      <c r="M22" s="5" t="s">
        <v>308</v>
      </c>
      <c r="N22" s="5"/>
    </row>
    <row r="23" spans="2:15" x14ac:dyDescent="0.25">
      <c r="B23" s="5">
        <v>415</v>
      </c>
      <c r="C23" s="34">
        <v>45279</v>
      </c>
      <c r="D23" s="5" t="s">
        <v>392</v>
      </c>
      <c r="E23" s="36">
        <f>O23*O2</f>
        <v>1186.5311999999999</v>
      </c>
      <c r="F23" s="36">
        <f>E23-G23</f>
        <v>1.199999999926149E-3</v>
      </c>
      <c r="G23" s="38">
        <v>1186.53</v>
      </c>
      <c r="H23" s="34">
        <v>45310</v>
      </c>
      <c r="I23" s="34"/>
      <c r="J23" s="34"/>
      <c r="K23" s="5" t="s">
        <v>927</v>
      </c>
      <c r="L23" s="5" t="s">
        <v>298</v>
      </c>
      <c r="M23" s="5" t="s">
        <v>308</v>
      </c>
      <c r="N23" s="5" t="s">
        <v>391</v>
      </c>
      <c r="O23" s="47">
        <v>1275.8399999999999</v>
      </c>
    </row>
    <row r="24" spans="2:15" x14ac:dyDescent="0.25">
      <c r="B24" s="5">
        <v>23</v>
      </c>
      <c r="C24" s="34">
        <v>45303</v>
      </c>
      <c r="D24" s="5" t="s">
        <v>190</v>
      </c>
      <c r="E24" s="38">
        <v>1321</v>
      </c>
      <c r="F24" s="36">
        <f>E24-G24</f>
        <v>0</v>
      </c>
      <c r="G24" s="36">
        <v>1321</v>
      </c>
      <c r="H24" s="34">
        <v>44966</v>
      </c>
      <c r="I24" s="34"/>
      <c r="J24" s="34"/>
      <c r="K24" s="5" t="s">
        <v>926</v>
      </c>
      <c r="L24" s="5" t="s">
        <v>303</v>
      </c>
      <c r="M24" s="5" t="s">
        <v>308</v>
      </c>
    </row>
    <row r="25" spans="2:15" x14ac:dyDescent="0.25">
      <c r="B25" s="5">
        <v>60</v>
      </c>
      <c r="C25" s="34">
        <v>45322</v>
      </c>
      <c r="D25" s="5" t="s">
        <v>307</v>
      </c>
      <c r="E25" s="33">
        <v>48.36</v>
      </c>
      <c r="F25" s="36">
        <f>E25-G25</f>
        <v>0</v>
      </c>
      <c r="G25" s="33">
        <v>48.36</v>
      </c>
      <c r="H25" s="34">
        <v>45324</v>
      </c>
      <c r="I25" s="34"/>
      <c r="J25" s="34"/>
      <c r="K25" s="5" t="s">
        <v>737</v>
      </c>
      <c r="L25" s="5" t="s">
        <v>298</v>
      </c>
      <c r="M25" s="5" t="s">
        <v>308</v>
      </c>
    </row>
    <row r="26" spans="2:15" x14ac:dyDescent="0.25">
      <c r="B26" s="5">
        <v>3</v>
      </c>
      <c r="C26" s="34">
        <v>45299</v>
      </c>
      <c r="D26" s="5" t="s">
        <v>347</v>
      </c>
      <c r="E26" s="36">
        <v>1311</v>
      </c>
      <c r="F26" s="36">
        <f>E26-G26</f>
        <v>0</v>
      </c>
      <c r="G26" s="36">
        <v>1311</v>
      </c>
      <c r="H26" s="34">
        <v>45306</v>
      </c>
      <c r="I26" s="34"/>
      <c r="J26" s="34"/>
      <c r="K26" s="5" t="s">
        <v>686</v>
      </c>
      <c r="L26" s="5" t="s">
        <v>309</v>
      </c>
      <c r="M26" s="5" t="s">
        <v>308</v>
      </c>
      <c r="N26" s="45"/>
    </row>
    <row r="27" spans="2:15" x14ac:dyDescent="0.25">
      <c r="B27" s="5">
        <v>59</v>
      </c>
      <c r="C27" s="34">
        <v>45322</v>
      </c>
      <c r="D27" s="5" t="s">
        <v>316</v>
      </c>
      <c r="E27" s="33">
        <v>90.86</v>
      </c>
      <c r="F27" s="36">
        <f>E27-G27</f>
        <v>0</v>
      </c>
      <c r="G27" s="36">
        <v>90.86</v>
      </c>
      <c r="H27" s="34">
        <v>45324</v>
      </c>
      <c r="I27" s="34"/>
      <c r="J27" s="34"/>
      <c r="K27" s="5" t="s">
        <v>686</v>
      </c>
      <c r="L27" s="5" t="s">
        <v>309</v>
      </c>
      <c r="M27" s="5" t="s">
        <v>308</v>
      </c>
    </row>
    <row r="28" spans="2:15" x14ac:dyDescent="0.25">
      <c r="B28" s="5">
        <v>65</v>
      </c>
      <c r="C28" s="34">
        <v>45324</v>
      </c>
      <c r="D28" s="5" t="s">
        <v>405</v>
      </c>
      <c r="E28" s="33">
        <v>3120</v>
      </c>
      <c r="F28" s="36">
        <f>E28-G28</f>
        <v>0</v>
      </c>
      <c r="G28" s="36">
        <v>3120</v>
      </c>
      <c r="H28" s="34">
        <v>45324</v>
      </c>
      <c r="I28" s="34"/>
      <c r="J28" s="34"/>
      <c r="K28" s="5" t="s">
        <v>742</v>
      </c>
      <c r="L28" s="5" t="s">
        <v>309</v>
      </c>
      <c r="M28" s="5" t="s">
        <v>822</v>
      </c>
    </row>
    <row r="29" spans="2:15" x14ac:dyDescent="0.25">
      <c r="B29" s="5">
        <v>50</v>
      </c>
      <c r="C29" s="34">
        <v>45317</v>
      </c>
      <c r="D29" s="5" t="s">
        <v>300</v>
      </c>
      <c r="E29" s="36">
        <v>145</v>
      </c>
      <c r="F29" s="36">
        <f>E29-G29</f>
        <v>0</v>
      </c>
      <c r="G29" s="36">
        <v>145</v>
      </c>
      <c r="H29" s="34">
        <v>45327</v>
      </c>
      <c r="I29" s="34"/>
      <c r="J29" s="34"/>
      <c r="K29" s="5" t="s">
        <v>896</v>
      </c>
      <c r="L29" s="5" t="s">
        <v>309</v>
      </c>
      <c r="M29" s="5" t="s">
        <v>308</v>
      </c>
    </row>
    <row r="30" spans="2:15" x14ac:dyDescent="0.25">
      <c r="B30" s="5">
        <v>343</v>
      </c>
      <c r="C30" s="34">
        <v>45251</v>
      </c>
      <c r="D30" s="5" t="s">
        <v>417</v>
      </c>
      <c r="E30" s="102">
        <v>3450</v>
      </c>
      <c r="F30" s="36">
        <f>E30-G30</f>
        <v>0</v>
      </c>
      <c r="G30" s="101">
        <v>3450</v>
      </c>
      <c r="H30" s="34">
        <v>45336</v>
      </c>
      <c r="I30" s="34"/>
      <c r="J30" s="34"/>
      <c r="K30" s="5" t="s">
        <v>925</v>
      </c>
      <c r="L30" s="5" t="s">
        <v>298</v>
      </c>
    </row>
    <row r="31" spans="2:15" x14ac:dyDescent="0.25">
      <c r="B31" s="5">
        <v>2</v>
      </c>
      <c r="C31" s="34">
        <v>45320</v>
      </c>
      <c r="D31" s="5" t="s">
        <v>399</v>
      </c>
      <c r="E31" s="36">
        <v>2080</v>
      </c>
      <c r="F31" s="36">
        <f>E31-G31</f>
        <v>0</v>
      </c>
      <c r="G31" s="36">
        <v>2080</v>
      </c>
      <c r="H31" s="34">
        <v>45327</v>
      </c>
      <c r="I31" s="34"/>
      <c r="J31" s="34"/>
      <c r="K31" s="5" t="s">
        <v>598</v>
      </c>
      <c r="L31" s="5" t="s">
        <v>298</v>
      </c>
      <c r="N31" s="5"/>
    </row>
    <row r="32" spans="2:15" x14ac:dyDescent="0.25">
      <c r="B32" s="5">
        <v>73</v>
      </c>
      <c r="C32" s="34">
        <v>45328</v>
      </c>
      <c r="D32" s="5" t="s">
        <v>775</v>
      </c>
      <c r="E32" s="33">
        <v>45</v>
      </c>
      <c r="F32" s="36">
        <f>E32-G32</f>
        <v>0</v>
      </c>
      <c r="G32" s="36">
        <v>45</v>
      </c>
      <c r="H32" s="34">
        <v>45328</v>
      </c>
      <c r="I32" s="34"/>
      <c r="J32" s="34"/>
      <c r="K32" s="5" t="s">
        <v>737</v>
      </c>
      <c r="L32" s="5" t="s">
        <v>298</v>
      </c>
    </row>
    <row r="33" spans="2:14" x14ac:dyDescent="0.25">
      <c r="B33" s="5">
        <v>69</v>
      </c>
      <c r="C33" s="34">
        <v>45327</v>
      </c>
      <c r="D33" s="5" t="s">
        <v>371</v>
      </c>
      <c r="E33" s="36">
        <v>84</v>
      </c>
      <c r="F33" s="36">
        <f>E33-G33</f>
        <v>0</v>
      </c>
      <c r="G33" s="36">
        <v>84</v>
      </c>
      <c r="H33" s="34">
        <v>45334</v>
      </c>
      <c r="I33" s="34"/>
      <c r="J33" s="34"/>
      <c r="K33" s="5" t="s">
        <v>923</v>
      </c>
      <c r="L33" s="5" t="s">
        <v>309</v>
      </c>
      <c r="M33" s="5" t="s">
        <v>308</v>
      </c>
    </row>
    <row r="34" spans="2:14" x14ac:dyDescent="0.25">
      <c r="B34" s="5">
        <v>230</v>
      </c>
      <c r="C34" s="34">
        <v>45204</v>
      </c>
      <c r="D34" s="5" t="s">
        <v>872</v>
      </c>
      <c r="E34" s="36">
        <v>62000</v>
      </c>
      <c r="F34" s="36">
        <f>E34-G34</f>
        <v>0</v>
      </c>
      <c r="G34" s="36">
        <v>62000</v>
      </c>
      <c r="H34" s="34">
        <v>45260</v>
      </c>
      <c r="I34" s="34"/>
      <c r="J34" s="34"/>
      <c r="K34" s="5" t="s">
        <v>924</v>
      </c>
      <c r="L34" s="5" t="s">
        <v>303</v>
      </c>
      <c r="N34" s="45"/>
    </row>
    <row r="35" spans="2:14" x14ac:dyDescent="0.25">
      <c r="B35" s="5">
        <v>68</v>
      </c>
      <c r="C35" s="34">
        <v>45327</v>
      </c>
      <c r="D35" s="5" t="s">
        <v>370</v>
      </c>
      <c r="E35" s="36">
        <v>239</v>
      </c>
      <c r="F35" s="36">
        <f>E35-G35</f>
        <v>0</v>
      </c>
      <c r="G35" s="36">
        <v>239</v>
      </c>
      <c r="H35" s="34">
        <v>45334</v>
      </c>
      <c r="I35" s="34"/>
      <c r="J35" s="34"/>
      <c r="K35" s="5" t="s">
        <v>923</v>
      </c>
      <c r="L35" s="5" t="s">
        <v>309</v>
      </c>
      <c r="M35" s="5" t="s">
        <v>308</v>
      </c>
      <c r="N35" s="45"/>
    </row>
    <row r="36" spans="2:14" x14ac:dyDescent="0.25">
      <c r="B36" s="5">
        <v>57</v>
      </c>
      <c r="C36" s="34">
        <v>45321</v>
      </c>
      <c r="D36" s="5" t="s">
        <v>300</v>
      </c>
      <c r="E36" s="33">
        <v>400</v>
      </c>
      <c r="F36" s="36">
        <f>E36-G36</f>
        <v>0</v>
      </c>
      <c r="G36" s="36">
        <v>400</v>
      </c>
      <c r="H36" s="34">
        <v>45329</v>
      </c>
      <c r="I36" s="34"/>
      <c r="J36" s="34"/>
      <c r="K36" s="5" t="s">
        <v>686</v>
      </c>
      <c r="L36" s="5" t="s">
        <v>309</v>
      </c>
      <c r="M36" s="5" t="s">
        <v>822</v>
      </c>
    </row>
    <row r="37" spans="2:14" x14ac:dyDescent="0.25">
      <c r="B37" s="5">
        <v>10</v>
      </c>
      <c r="C37" s="34">
        <v>45300</v>
      </c>
      <c r="D37" s="5" t="s">
        <v>371</v>
      </c>
      <c r="E37" s="38">
        <v>1460</v>
      </c>
      <c r="F37" s="36">
        <f>E37-G37</f>
        <v>0</v>
      </c>
      <c r="G37" s="101">
        <v>1460</v>
      </c>
      <c r="H37" s="34">
        <v>45310</v>
      </c>
      <c r="I37" s="34"/>
      <c r="J37" s="34"/>
      <c r="K37" s="5" t="s">
        <v>922</v>
      </c>
      <c r="L37" s="45" t="s">
        <v>859</v>
      </c>
      <c r="M37" s="5" t="s">
        <v>308</v>
      </c>
      <c r="N37" s="5"/>
    </row>
    <row r="38" spans="2:14" x14ac:dyDescent="0.25">
      <c r="B38" s="5">
        <v>37</v>
      </c>
      <c r="C38" s="34">
        <v>45308</v>
      </c>
      <c r="D38" s="5" t="s">
        <v>300</v>
      </c>
      <c r="E38" s="36">
        <v>833.4</v>
      </c>
      <c r="F38" s="36">
        <f>E38-G38</f>
        <v>0</v>
      </c>
      <c r="G38" s="36">
        <v>833.4</v>
      </c>
      <c r="H38" s="34">
        <v>45322</v>
      </c>
      <c r="I38" s="34"/>
      <c r="J38" s="34"/>
      <c r="K38" s="5" t="s">
        <v>598</v>
      </c>
      <c r="L38" s="5" t="s">
        <v>303</v>
      </c>
      <c r="M38" s="5" t="s">
        <v>308</v>
      </c>
      <c r="N38" s="5"/>
    </row>
    <row r="39" spans="2:14" x14ac:dyDescent="0.25">
      <c r="B39" s="5">
        <v>84</v>
      </c>
      <c r="C39" s="34">
        <v>45330</v>
      </c>
      <c r="D39" s="5" t="s">
        <v>402</v>
      </c>
      <c r="E39" s="36">
        <v>135</v>
      </c>
      <c r="F39" s="36">
        <f>E39-G39</f>
        <v>0</v>
      </c>
      <c r="G39" s="36">
        <v>135</v>
      </c>
      <c r="H39" s="34">
        <v>45334</v>
      </c>
      <c r="I39" s="34"/>
      <c r="J39" s="34"/>
      <c r="K39" s="5" t="s">
        <v>907</v>
      </c>
      <c r="L39" s="5" t="s">
        <v>309</v>
      </c>
      <c r="M39" s="5" t="s">
        <v>308</v>
      </c>
    </row>
    <row r="40" spans="2:14" x14ac:dyDescent="0.25">
      <c r="B40" s="5">
        <v>40</v>
      </c>
      <c r="C40" s="34">
        <v>45313</v>
      </c>
      <c r="D40" s="5" t="s">
        <v>905</v>
      </c>
      <c r="E40" s="38">
        <v>185</v>
      </c>
      <c r="F40" s="36">
        <f>E40-G40</f>
        <v>0</v>
      </c>
      <c r="G40" s="101">
        <v>185</v>
      </c>
      <c r="H40" s="34">
        <v>45324</v>
      </c>
      <c r="I40" s="34"/>
      <c r="J40" s="34"/>
      <c r="K40" s="5" t="s">
        <v>598</v>
      </c>
      <c r="L40" s="5" t="s">
        <v>309</v>
      </c>
      <c r="M40" s="5" t="s">
        <v>308</v>
      </c>
      <c r="N40" s="45"/>
    </row>
    <row r="41" spans="2:14" x14ac:dyDescent="0.25">
      <c r="B41" s="5">
        <v>58</v>
      </c>
      <c r="C41" s="34">
        <v>45321</v>
      </c>
      <c r="D41" s="5" t="s">
        <v>905</v>
      </c>
      <c r="E41" s="36">
        <v>185</v>
      </c>
      <c r="F41" s="36">
        <f>E41-G41</f>
        <v>0</v>
      </c>
      <c r="G41" s="36">
        <v>185</v>
      </c>
      <c r="H41" s="34">
        <v>45324</v>
      </c>
      <c r="I41" s="34"/>
      <c r="J41" s="34"/>
      <c r="K41" s="5" t="s">
        <v>896</v>
      </c>
      <c r="L41" s="5" t="s">
        <v>298</v>
      </c>
      <c r="M41" s="5" t="s">
        <v>308</v>
      </c>
      <c r="N41" s="45"/>
    </row>
    <row r="42" spans="2:14" x14ac:dyDescent="0.25">
      <c r="B42" s="5">
        <v>81</v>
      </c>
      <c r="C42" s="34">
        <v>45330</v>
      </c>
      <c r="D42" s="5" t="s">
        <v>547</v>
      </c>
      <c r="E42" s="36">
        <v>170</v>
      </c>
      <c r="F42" s="36">
        <f>E42-G42</f>
        <v>0</v>
      </c>
      <c r="G42" s="36">
        <v>170</v>
      </c>
      <c r="H42" s="34">
        <v>45336</v>
      </c>
      <c r="I42" s="34"/>
      <c r="J42" s="34"/>
      <c r="K42" s="5" t="s">
        <v>737</v>
      </c>
      <c r="L42" s="5" t="s">
        <v>298</v>
      </c>
    </row>
    <row r="43" spans="2:14" x14ac:dyDescent="0.25">
      <c r="B43" s="5">
        <v>88</v>
      </c>
      <c r="C43" s="34">
        <v>45331</v>
      </c>
      <c r="D43" s="5" t="s">
        <v>537</v>
      </c>
      <c r="E43" s="36">
        <v>204.12</v>
      </c>
      <c r="F43" s="36">
        <f>E43-G43</f>
        <v>0</v>
      </c>
      <c r="G43" s="36">
        <v>204.12</v>
      </c>
      <c r="H43" s="34">
        <v>45338</v>
      </c>
      <c r="I43" s="34"/>
      <c r="J43" s="34"/>
      <c r="K43" s="5" t="s">
        <v>598</v>
      </c>
      <c r="L43" s="5" t="s">
        <v>309</v>
      </c>
      <c r="M43" s="5" t="s">
        <v>913</v>
      </c>
    </row>
    <row r="44" spans="2:14" x14ac:dyDescent="0.25">
      <c r="B44" s="5">
        <v>89</v>
      </c>
      <c r="C44" s="34">
        <v>45331</v>
      </c>
      <c r="D44" s="5" t="s">
        <v>537</v>
      </c>
      <c r="E44" s="36">
        <v>36</v>
      </c>
      <c r="F44" s="36">
        <f>E44-G44</f>
        <v>0</v>
      </c>
      <c r="G44" s="36">
        <v>36</v>
      </c>
      <c r="H44" s="34">
        <v>45338</v>
      </c>
      <c r="I44" s="34"/>
      <c r="J44" s="34"/>
      <c r="K44" s="5" t="s">
        <v>544</v>
      </c>
      <c r="L44" s="5" t="s">
        <v>309</v>
      </c>
      <c r="M44" s="5" t="s">
        <v>913</v>
      </c>
    </row>
    <row r="45" spans="2:14" x14ac:dyDescent="0.25">
      <c r="B45" s="5">
        <v>74</v>
      </c>
      <c r="C45" s="34">
        <v>45328</v>
      </c>
      <c r="D45" s="5" t="s">
        <v>300</v>
      </c>
      <c r="E45" s="36">
        <v>233</v>
      </c>
      <c r="F45" s="36">
        <f>E45-G45</f>
        <v>0</v>
      </c>
      <c r="G45" s="36">
        <v>233</v>
      </c>
      <c r="H45" s="34">
        <v>45336</v>
      </c>
      <c r="I45" s="34"/>
      <c r="J45" s="34"/>
      <c r="K45" s="5" t="s">
        <v>598</v>
      </c>
      <c r="L45" s="5" t="s">
        <v>309</v>
      </c>
      <c r="M45" s="5" t="s">
        <v>308</v>
      </c>
    </row>
    <row r="46" spans="2:14" x14ac:dyDescent="0.25">
      <c r="B46" s="5">
        <v>368</v>
      </c>
      <c r="C46" s="34">
        <v>45259</v>
      </c>
      <c r="D46" s="5" t="s">
        <v>921</v>
      </c>
      <c r="E46" s="36">
        <v>2660</v>
      </c>
      <c r="F46" s="36">
        <f>E46-G46</f>
        <v>0</v>
      </c>
      <c r="G46" s="36">
        <v>2660</v>
      </c>
      <c r="H46" s="34">
        <v>45324</v>
      </c>
      <c r="I46" s="34"/>
      <c r="J46" s="34"/>
      <c r="K46" s="5" t="s">
        <v>598</v>
      </c>
      <c r="L46" s="5" t="s">
        <v>309</v>
      </c>
      <c r="M46" s="5" t="s">
        <v>308</v>
      </c>
      <c r="N46" s="45"/>
    </row>
    <row r="47" spans="2:14" x14ac:dyDescent="0.25">
      <c r="B47" s="5">
        <v>31</v>
      </c>
      <c r="C47" s="34">
        <v>45307</v>
      </c>
      <c r="D47" s="5" t="s">
        <v>920</v>
      </c>
      <c r="E47" s="36">
        <v>224</v>
      </c>
      <c r="F47" s="36">
        <f>E47-G47</f>
        <v>0</v>
      </c>
      <c r="G47" s="36">
        <v>224</v>
      </c>
      <c r="H47" s="34">
        <v>45310</v>
      </c>
      <c r="I47" s="34"/>
      <c r="J47" s="34"/>
      <c r="K47" s="5" t="s">
        <v>849</v>
      </c>
      <c r="L47" s="5" t="s">
        <v>309</v>
      </c>
      <c r="M47" s="5" t="s">
        <v>308</v>
      </c>
      <c r="N47" s="45"/>
    </row>
    <row r="48" spans="2:14" x14ac:dyDescent="0.25">
      <c r="B48" s="5">
        <v>91</v>
      </c>
      <c r="C48" s="34">
        <v>45334</v>
      </c>
      <c r="D48" s="5" t="s">
        <v>23</v>
      </c>
      <c r="E48" s="33">
        <v>108.52</v>
      </c>
      <c r="F48" s="36">
        <f>E48-G48</f>
        <v>0</v>
      </c>
      <c r="G48" s="33">
        <v>108.52</v>
      </c>
      <c r="H48" s="34">
        <v>45337</v>
      </c>
      <c r="I48" s="34"/>
      <c r="J48" s="34"/>
      <c r="K48" s="5" t="s">
        <v>742</v>
      </c>
      <c r="L48" s="5" t="s">
        <v>309</v>
      </c>
      <c r="M48" s="5" t="s">
        <v>308</v>
      </c>
      <c r="N48" s="5"/>
    </row>
    <row r="49" spans="2:14" x14ac:dyDescent="0.25">
      <c r="B49" s="5">
        <v>83</v>
      </c>
      <c r="C49" s="34">
        <v>45330</v>
      </c>
      <c r="D49" s="5" t="s">
        <v>300</v>
      </c>
      <c r="E49" s="36">
        <v>16.8</v>
      </c>
      <c r="F49" s="36">
        <f>E49-G49</f>
        <v>0</v>
      </c>
      <c r="G49" s="36">
        <v>16.8</v>
      </c>
      <c r="H49" s="34">
        <v>45337</v>
      </c>
      <c r="I49" s="34"/>
      <c r="J49" s="34"/>
      <c r="K49" s="5" t="s">
        <v>742</v>
      </c>
      <c r="L49" s="5" t="s">
        <v>309</v>
      </c>
      <c r="M49" s="5" t="s">
        <v>308</v>
      </c>
    </row>
    <row r="50" spans="2:14" x14ac:dyDescent="0.25">
      <c r="B50" s="5">
        <v>82</v>
      </c>
      <c r="C50" s="34">
        <v>45330</v>
      </c>
      <c r="D50" s="5" t="s">
        <v>300</v>
      </c>
      <c r="E50" s="36">
        <v>216.8</v>
      </c>
      <c r="F50" s="36">
        <f>E50-G50</f>
        <v>0</v>
      </c>
      <c r="G50" s="36">
        <v>216.8</v>
      </c>
      <c r="H50" s="34">
        <v>45337</v>
      </c>
      <c r="I50" s="34"/>
      <c r="J50" s="34"/>
      <c r="K50" s="5" t="s">
        <v>686</v>
      </c>
      <c r="L50" s="5" t="s">
        <v>309</v>
      </c>
      <c r="M50" s="5" t="s">
        <v>308</v>
      </c>
    </row>
    <row r="51" spans="2:14" x14ac:dyDescent="0.25">
      <c r="B51" s="5">
        <v>402</v>
      </c>
      <c r="C51" s="34">
        <v>45273</v>
      </c>
      <c r="D51" s="5" t="s">
        <v>547</v>
      </c>
      <c r="E51" s="36">
        <v>1139</v>
      </c>
      <c r="F51" s="36">
        <f>E51-G51</f>
        <v>0</v>
      </c>
      <c r="G51" s="36">
        <v>1139</v>
      </c>
      <c r="H51" s="34">
        <v>45306</v>
      </c>
      <c r="I51" s="34"/>
      <c r="J51" s="34"/>
      <c r="K51" s="5" t="s">
        <v>737</v>
      </c>
      <c r="L51" s="5" t="s">
        <v>309</v>
      </c>
      <c r="M51" s="5" t="s">
        <v>308</v>
      </c>
      <c r="N51" s="45"/>
    </row>
    <row r="52" spans="2:14" x14ac:dyDescent="0.25">
      <c r="B52" s="5">
        <v>20</v>
      </c>
      <c r="C52" s="34">
        <v>45302</v>
      </c>
      <c r="D52" s="5" t="s">
        <v>567</v>
      </c>
      <c r="E52" s="36">
        <v>569.5</v>
      </c>
      <c r="F52" s="36">
        <f>E52-G52</f>
        <v>0</v>
      </c>
      <c r="G52" s="36">
        <v>569.5</v>
      </c>
      <c r="H52" s="34">
        <v>45322</v>
      </c>
      <c r="I52" s="34"/>
      <c r="J52" s="34"/>
      <c r="K52" s="5" t="s">
        <v>737</v>
      </c>
      <c r="L52" s="5" t="s">
        <v>309</v>
      </c>
      <c r="M52" s="5" t="s">
        <v>822</v>
      </c>
      <c r="N52" s="45"/>
    </row>
    <row r="53" spans="2:14" x14ac:dyDescent="0.25">
      <c r="B53" s="5">
        <v>77</v>
      </c>
      <c r="C53" s="34">
        <v>45329</v>
      </c>
      <c r="D53" s="5" t="s">
        <v>508</v>
      </c>
      <c r="E53" s="36">
        <v>180.44</v>
      </c>
      <c r="F53" s="36">
        <f>E53-G53</f>
        <v>0</v>
      </c>
      <c r="G53" s="36">
        <v>180.44</v>
      </c>
      <c r="H53" s="34">
        <v>45342</v>
      </c>
      <c r="I53" s="34"/>
      <c r="J53" s="34"/>
      <c r="K53" s="5" t="s">
        <v>896</v>
      </c>
      <c r="L53" s="5" t="s">
        <v>309</v>
      </c>
      <c r="M53" s="5" t="s">
        <v>308</v>
      </c>
    </row>
    <row r="54" spans="2:14" x14ac:dyDescent="0.25">
      <c r="B54" s="5">
        <v>337</v>
      </c>
      <c r="C54" s="34">
        <v>45250</v>
      </c>
      <c r="D54" s="34" t="s">
        <v>560</v>
      </c>
      <c r="E54" s="36">
        <v>2851.5</v>
      </c>
      <c r="F54" s="36">
        <f>E54-G54</f>
        <v>0</v>
      </c>
      <c r="G54" s="36">
        <v>2851.5</v>
      </c>
      <c r="H54" s="34">
        <v>45306</v>
      </c>
      <c r="I54" s="34"/>
      <c r="J54" s="34"/>
      <c r="K54" s="5" t="s">
        <v>737</v>
      </c>
      <c r="L54" s="5" t="s">
        <v>309</v>
      </c>
      <c r="M54" s="5" t="s">
        <v>308</v>
      </c>
      <c r="N54" s="45"/>
    </row>
    <row r="55" spans="2:14" x14ac:dyDescent="0.25">
      <c r="B55" s="5">
        <v>285</v>
      </c>
      <c r="C55" s="34">
        <v>45232</v>
      </c>
      <c r="D55" s="5" t="s">
        <v>23</v>
      </c>
      <c r="E55" s="36">
        <v>7634.1</v>
      </c>
      <c r="F55" s="36">
        <f>E55-G55</f>
        <v>0</v>
      </c>
      <c r="G55" s="36">
        <v>7634.1</v>
      </c>
      <c r="H55" s="34">
        <v>45237</v>
      </c>
      <c r="I55" s="34"/>
      <c r="J55" s="34"/>
      <c r="K55" s="5" t="s">
        <v>919</v>
      </c>
      <c r="L55" s="5" t="s">
        <v>303</v>
      </c>
      <c r="M55" s="5" t="s">
        <v>308</v>
      </c>
      <c r="N55" s="5"/>
    </row>
    <row r="56" spans="2:14" x14ac:dyDescent="0.25">
      <c r="B56" s="5">
        <v>93</v>
      </c>
      <c r="C56" s="34">
        <v>45336</v>
      </c>
      <c r="D56" s="5" t="s">
        <v>328</v>
      </c>
      <c r="E56" s="36">
        <v>24.36</v>
      </c>
      <c r="F56" s="36">
        <f>E56-G56</f>
        <v>0</v>
      </c>
      <c r="G56" s="36">
        <v>24.36</v>
      </c>
      <c r="H56" s="34">
        <v>45337</v>
      </c>
      <c r="I56" s="34"/>
      <c r="J56" s="34"/>
      <c r="K56" s="5" t="s">
        <v>737</v>
      </c>
      <c r="L56" s="5" t="s">
        <v>298</v>
      </c>
      <c r="N56" s="45"/>
    </row>
    <row r="57" spans="2:14" x14ac:dyDescent="0.25">
      <c r="B57" s="5">
        <v>90</v>
      </c>
      <c r="C57" s="34">
        <v>45334</v>
      </c>
      <c r="D57" s="5" t="s">
        <v>508</v>
      </c>
      <c r="E57" s="36">
        <v>100</v>
      </c>
      <c r="F57" s="36">
        <f>E57-G57</f>
        <v>0</v>
      </c>
      <c r="G57" s="36">
        <v>100</v>
      </c>
      <c r="H57" s="34">
        <v>45343</v>
      </c>
      <c r="I57" s="34"/>
      <c r="J57" s="34"/>
      <c r="K57" s="5" t="s">
        <v>686</v>
      </c>
      <c r="L57" s="5" t="s">
        <v>309</v>
      </c>
      <c r="M57" s="5" t="s">
        <v>308</v>
      </c>
      <c r="N57" s="45"/>
    </row>
    <row r="58" spans="2:14" x14ac:dyDescent="0.25">
      <c r="B58" s="5">
        <v>92</v>
      </c>
      <c r="C58" s="34">
        <v>45334</v>
      </c>
      <c r="D58" s="5" t="s">
        <v>508</v>
      </c>
      <c r="E58" s="36">
        <v>160</v>
      </c>
      <c r="F58" s="36">
        <f>E58-G58</f>
        <v>0</v>
      </c>
      <c r="G58" s="36">
        <v>160</v>
      </c>
      <c r="H58" s="34">
        <v>45338</v>
      </c>
      <c r="I58" s="34"/>
      <c r="J58" s="34"/>
      <c r="K58" s="5" t="s">
        <v>918</v>
      </c>
      <c r="L58" s="5" t="s">
        <v>309</v>
      </c>
      <c r="M58" s="5" t="s">
        <v>308</v>
      </c>
      <c r="N58" s="5"/>
    </row>
    <row r="59" spans="2:14" x14ac:dyDescent="0.25">
      <c r="B59" s="5">
        <v>410</v>
      </c>
      <c r="C59" s="34">
        <v>45275</v>
      </c>
      <c r="D59" s="5" t="s">
        <v>508</v>
      </c>
      <c r="E59" s="36">
        <v>1060.8</v>
      </c>
      <c r="F59" s="36">
        <f>E59-G59</f>
        <v>0</v>
      </c>
      <c r="G59" s="36">
        <v>1060.8</v>
      </c>
      <c r="H59" s="34">
        <v>45322</v>
      </c>
      <c r="I59" s="34"/>
      <c r="J59" s="34"/>
      <c r="K59" s="5" t="s">
        <v>737</v>
      </c>
      <c r="L59" s="5" t="s">
        <v>303</v>
      </c>
      <c r="M59" s="5" t="s">
        <v>308</v>
      </c>
      <c r="N59" s="5"/>
    </row>
    <row r="60" spans="2:14" x14ac:dyDescent="0.25">
      <c r="B60" s="5">
        <v>93</v>
      </c>
      <c r="C60" s="34">
        <v>45336</v>
      </c>
      <c r="D60" s="5" t="s">
        <v>328</v>
      </c>
      <c r="E60" s="36">
        <v>24.36</v>
      </c>
      <c r="F60" s="36">
        <f>E60-G60</f>
        <v>0</v>
      </c>
      <c r="G60" s="36">
        <v>24.36</v>
      </c>
      <c r="H60" s="34">
        <v>45337</v>
      </c>
      <c r="I60" s="34"/>
      <c r="J60" s="34"/>
      <c r="K60" s="5" t="s">
        <v>737</v>
      </c>
      <c r="L60" s="5" t="s">
        <v>309</v>
      </c>
      <c r="M60" s="5" t="s">
        <v>308</v>
      </c>
    </row>
    <row r="61" spans="2:14" x14ac:dyDescent="0.25">
      <c r="B61" s="5">
        <v>81</v>
      </c>
      <c r="C61" s="34">
        <v>45330</v>
      </c>
      <c r="D61" s="5" t="s">
        <v>547</v>
      </c>
      <c r="E61" s="36">
        <v>170</v>
      </c>
      <c r="F61" s="36">
        <f>E61-G61</f>
        <v>0</v>
      </c>
      <c r="G61" s="36">
        <v>170</v>
      </c>
      <c r="H61" s="34">
        <v>45336</v>
      </c>
      <c r="I61" s="34"/>
      <c r="J61" s="34"/>
      <c r="K61" s="5" t="s">
        <v>737</v>
      </c>
      <c r="L61" s="5" t="s">
        <v>309</v>
      </c>
      <c r="M61" s="5" t="s">
        <v>308</v>
      </c>
    </row>
    <row r="62" spans="2:14" x14ac:dyDescent="0.25">
      <c r="B62" s="5">
        <v>94</v>
      </c>
      <c r="C62" s="34">
        <v>45336</v>
      </c>
      <c r="D62" s="5" t="s">
        <v>917</v>
      </c>
      <c r="E62" s="36">
        <v>193</v>
      </c>
      <c r="F62" s="36">
        <f>E62-G62</f>
        <v>0</v>
      </c>
      <c r="G62" s="36">
        <v>193</v>
      </c>
      <c r="H62" s="34">
        <v>45342</v>
      </c>
      <c r="I62" s="34"/>
      <c r="J62" s="34"/>
      <c r="K62" s="5" t="s">
        <v>916</v>
      </c>
      <c r="L62" s="5" t="s">
        <v>309</v>
      </c>
      <c r="M62" s="5" t="s">
        <v>913</v>
      </c>
      <c r="N62" s="45"/>
    </row>
    <row r="63" spans="2:14" x14ac:dyDescent="0.25">
      <c r="B63" s="5">
        <v>78</v>
      </c>
      <c r="C63" s="34">
        <v>45329</v>
      </c>
      <c r="D63" s="5" t="s">
        <v>908</v>
      </c>
      <c r="E63" s="36">
        <v>106.52</v>
      </c>
      <c r="F63" s="36">
        <f>E63-G63</f>
        <v>0</v>
      </c>
      <c r="G63" s="36">
        <v>106.52</v>
      </c>
      <c r="H63" s="34">
        <v>45336</v>
      </c>
      <c r="I63" s="34"/>
      <c r="J63" s="34"/>
      <c r="K63" s="5" t="s">
        <v>686</v>
      </c>
      <c r="L63" s="5" t="s">
        <v>309</v>
      </c>
      <c r="M63" s="5" t="s">
        <v>308</v>
      </c>
      <c r="N63" s="45"/>
    </row>
    <row r="64" spans="2:14" x14ac:dyDescent="0.25">
      <c r="B64" s="5">
        <v>394</v>
      </c>
      <c r="C64" s="34">
        <v>45272</v>
      </c>
      <c r="D64" s="5" t="s">
        <v>806</v>
      </c>
      <c r="E64" s="36">
        <v>345</v>
      </c>
      <c r="F64" s="36">
        <f>E64-G64</f>
        <v>0</v>
      </c>
      <c r="G64" s="36">
        <v>345</v>
      </c>
      <c r="H64" s="34">
        <v>45275</v>
      </c>
      <c r="I64" s="34"/>
      <c r="J64" s="34"/>
      <c r="K64" s="5" t="s">
        <v>915</v>
      </c>
      <c r="L64" s="5" t="s">
        <v>303</v>
      </c>
      <c r="N64" s="45"/>
    </row>
    <row r="65" spans="2:14" x14ac:dyDescent="0.25">
      <c r="B65" s="5">
        <v>318</v>
      </c>
      <c r="C65" s="34">
        <v>45240</v>
      </c>
      <c r="D65" s="5" t="s">
        <v>806</v>
      </c>
      <c r="E65" s="36">
        <v>4465</v>
      </c>
      <c r="F65" s="36">
        <f>E65-G65</f>
        <v>0</v>
      </c>
      <c r="G65" s="36">
        <v>4465</v>
      </c>
      <c r="H65" s="34">
        <v>45260</v>
      </c>
      <c r="I65" s="34"/>
      <c r="J65" s="34"/>
      <c r="K65" s="5" t="s">
        <v>914</v>
      </c>
      <c r="L65" s="5" t="s">
        <v>303</v>
      </c>
      <c r="N65" s="5"/>
    </row>
    <row r="66" spans="2:14" x14ac:dyDescent="0.25">
      <c r="B66" s="5">
        <v>102</v>
      </c>
      <c r="C66" s="34">
        <v>45342</v>
      </c>
      <c r="D66" s="5" t="s">
        <v>23</v>
      </c>
      <c r="E66" s="33">
        <v>201.69</v>
      </c>
      <c r="F66" s="36">
        <f>E66-G66</f>
        <v>0</v>
      </c>
      <c r="G66" s="33">
        <v>201.69</v>
      </c>
      <c r="H66" s="34">
        <v>45345</v>
      </c>
      <c r="I66" s="34"/>
      <c r="J66" s="34"/>
      <c r="K66" s="5" t="s">
        <v>911</v>
      </c>
      <c r="L66" s="5" t="s">
        <v>298</v>
      </c>
      <c r="N66" s="5"/>
    </row>
    <row r="67" spans="2:14" x14ac:dyDescent="0.25">
      <c r="B67" s="5">
        <v>104</v>
      </c>
      <c r="C67" s="34">
        <v>45342</v>
      </c>
      <c r="D67" s="5" t="s">
        <v>307</v>
      </c>
      <c r="E67" s="33">
        <v>63.77</v>
      </c>
      <c r="F67" s="36">
        <f>E67-G67</f>
        <v>0</v>
      </c>
      <c r="G67" s="33">
        <v>63.77</v>
      </c>
      <c r="H67" s="34">
        <v>45344</v>
      </c>
      <c r="I67" s="34"/>
      <c r="J67" s="34"/>
      <c r="K67" s="5" t="s">
        <v>737</v>
      </c>
      <c r="L67" s="5" t="s">
        <v>298</v>
      </c>
      <c r="N67" s="5"/>
    </row>
    <row r="68" spans="2:14" x14ac:dyDescent="0.25">
      <c r="B68" s="5">
        <v>95</v>
      </c>
      <c r="C68" s="34">
        <v>45341</v>
      </c>
      <c r="D68" s="5" t="s">
        <v>537</v>
      </c>
      <c r="E68" s="33">
        <v>1543.19</v>
      </c>
      <c r="F68" s="36">
        <f>E68-G68</f>
        <v>0</v>
      </c>
      <c r="G68" s="33">
        <v>1543.19</v>
      </c>
      <c r="H68" s="34">
        <v>45344</v>
      </c>
      <c r="I68" s="34"/>
      <c r="J68" s="34"/>
      <c r="K68" s="5" t="s">
        <v>911</v>
      </c>
      <c r="L68" s="5" t="s">
        <v>309</v>
      </c>
      <c r="M68" s="5" t="s">
        <v>913</v>
      </c>
      <c r="N68" s="5"/>
    </row>
    <row r="69" spans="2:14" x14ac:dyDescent="0.25">
      <c r="B69" s="5">
        <v>109</v>
      </c>
      <c r="C69" s="34">
        <v>45345</v>
      </c>
      <c r="D69" s="5" t="s">
        <v>316</v>
      </c>
      <c r="E69" s="33">
        <v>90.86</v>
      </c>
      <c r="F69" s="36">
        <f>E69-G69</f>
        <v>0</v>
      </c>
      <c r="G69" s="33">
        <v>90.86</v>
      </c>
      <c r="H69" s="34">
        <v>45349</v>
      </c>
      <c r="I69" s="34"/>
      <c r="J69" s="34"/>
      <c r="K69" s="5" t="s">
        <v>912</v>
      </c>
      <c r="L69" s="5" t="s">
        <v>309</v>
      </c>
      <c r="M69" s="5" t="s">
        <v>308</v>
      </c>
    </row>
    <row r="70" spans="2:14" x14ac:dyDescent="0.25">
      <c r="B70" s="5">
        <v>99</v>
      </c>
      <c r="C70" s="34">
        <v>45342</v>
      </c>
      <c r="D70" s="5" t="s">
        <v>341</v>
      </c>
      <c r="E70" s="33">
        <v>133.9</v>
      </c>
      <c r="F70" s="36">
        <f>E70-G70</f>
        <v>0</v>
      </c>
      <c r="G70" s="33">
        <v>133.9</v>
      </c>
      <c r="H70" s="34">
        <v>45349</v>
      </c>
      <c r="I70" s="34"/>
      <c r="J70" s="34"/>
      <c r="K70" s="5" t="s">
        <v>911</v>
      </c>
      <c r="L70" s="5" t="s">
        <v>298</v>
      </c>
    </row>
    <row r="71" spans="2:14" x14ac:dyDescent="0.25">
      <c r="B71" s="5">
        <v>112</v>
      </c>
      <c r="C71" s="34">
        <v>45345</v>
      </c>
      <c r="D71" s="5" t="s">
        <v>307</v>
      </c>
      <c r="E71" s="33">
        <v>17.940000000000001</v>
      </c>
      <c r="F71" s="36">
        <f>E71-G71</f>
        <v>0</v>
      </c>
      <c r="G71" s="33">
        <v>17.940000000000001</v>
      </c>
      <c r="H71" s="34">
        <v>45348</v>
      </c>
      <c r="I71" s="34"/>
      <c r="J71" s="34"/>
      <c r="K71" s="5" t="s">
        <v>910</v>
      </c>
      <c r="L71" s="5" t="s">
        <v>298</v>
      </c>
    </row>
    <row r="72" spans="2:14" x14ac:dyDescent="0.25">
      <c r="B72" s="5">
        <v>106</v>
      </c>
      <c r="C72" s="34">
        <v>45344</v>
      </c>
      <c r="D72" s="5" t="s">
        <v>371</v>
      </c>
      <c r="E72" s="33">
        <v>145</v>
      </c>
      <c r="F72" s="36">
        <f>E72-G72</f>
        <v>0</v>
      </c>
      <c r="G72" s="33">
        <v>145</v>
      </c>
      <c r="H72" s="34">
        <v>45356</v>
      </c>
      <c r="I72" s="34"/>
      <c r="J72" s="34"/>
      <c r="K72" s="5" t="s">
        <v>904</v>
      </c>
      <c r="L72" s="5" t="s">
        <v>298</v>
      </c>
    </row>
    <row r="73" spans="2:14" x14ac:dyDescent="0.25">
      <c r="B73" s="5">
        <v>103</v>
      </c>
      <c r="C73" s="34">
        <v>45342</v>
      </c>
      <c r="D73" s="5" t="s">
        <v>357</v>
      </c>
      <c r="E73" s="33">
        <v>57.2</v>
      </c>
      <c r="F73" s="36">
        <f>E73-G73</f>
        <v>0</v>
      </c>
      <c r="G73" s="33">
        <v>57.2</v>
      </c>
      <c r="H73" s="34">
        <v>45351</v>
      </c>
      <c r="I73" s="34"/>
      <c r="J73" s="34"/>
      <c r="K73" s="5" t="s">
        <v>737</v>
      </c>
      <c r="L73" s="5" t="s">
        <v>298</v>
      </c>
    </row>
    <row r="74" spans="2:14" x14ac:dyDescent="0.25">
      <c r="B74" s="5">
        <v>107</v>
      </c>
      <c r="C74" s="34">
        <v>45344</v>
      </c>
      <c r="D74" s="5" t="s">
        <v>185</v>
      </c>
      <c r="E74" s="33">
        <v>596.66999999999996</v>
      </c>
      <c r="F74" s="36">
        <f>E74-G74</f>
        <v>0</v>
      </c>
      <c r="G74" s="33">
        <v>596.66999999999996</v>
      </c>
      <c r="H74" s="34">
        <v>45348</v>
      </c>
      <c r="I74" s="34"/>
      <c r="J74" s="34"/>
      <c r="K74" s="5" t="s">
        <v>909</v>
      </c>
      <c r="L74" s="5" t="s">
        <v>298</v>
      </c>
    </row>
    <row r="75" spans="2:14" x14ac:dyDescent="0.25">
      <c r="B75" s="5">
        <v>101</v>
      </c>
      <c r="C75" s="34">
        <v>45342</v>
      </c>
      <c r="D75" s="5" t="s">
        <v>300</v>
      </c>
      <c r="E75" s="36">
        <v>40</v>
      </c>
      <c r="F75" s="36">
        <f>E75-G75</f>
        <v>0</v>
      </c>
      <c r="G75" s="36">
        <v>40</v>
      </c>
      <c r="H75" s="34">
        <v>45349</v>
      </c>
      <c r="I75" s="34"/>
      <c r="J75" s="34"/>
      <c r="K75" s="5" t="s">
        <v>544</v>
      </c>
      <c r="L75" s="5" t="s">
        <v>309</v>
      </c>
      <c r="M75" s="5" t="s">
        <v>308</v>
      </c>
      <c r="N75" s="5"/>
    </row>
    <row r="76" spans="2:14" x14ac:dyDescent="0.25">
      <c r="B76" s="5">
        <v>75</v>
      </c>
      <c r="C76" s="34">
        <v>45328</v>
      </c>
      <c r="D76" s="5" t="s">
        <v>300</v>
      </c>
      <c r="E76" s="36">
        <v>164</v>
      </c>
      <c r="F76" s="36">
        <f>E76-G76</f>
        <v>0</v>
      </c>
      <c r="G76" s="36">
        <v>164</v>
      </c>
      <c r="H76" s="34">
        <v>45338</v>
      </c>
      <c r="I76" s="34"/>
      <c r="J76" s="34"/>
      <c r="K76" s="5" t="s">
        <v>686</v>
      </c>
      <c r="L76" s="5" t="s">
        <v>303</v>
      </c>
      <c r="N76" s="45"/>
    </row>
    <row r="77" spans="2:14" x14ac:dyDescent="0.25">
      <c r="B77" s="5">
        <v>80</v>
      </c>
      <c r="C77" s="34">
        <v>45329</v>
      </c>
      <c r="D77" s="5" t="s">
        <v>908</v>
      </c>
      <c r="E77" s="36">
        <v>155.56</v>
      </c>
      <c r="F77" s="36">
        <f>E77-G77</f>
        <v>0</v>
      </c>
      <c r="G77" s="36">
        <v>155.56</v>
      </c>
      <c r="H77" s="34">
        <v>45336</v>
      </c>
      <c r="I77" s="34"/>
      <c r="J77" s="34"/>
      <c r="K77" s="5" t="s">
        <v>907</v>
      </c>
      <c r="L77" s="5" t="s">
        <v>309</v>
      </c>
      <c r="M77" s="5" t="s">
        <v>308</v>
      </c>
      <c r="N77" s="45"/>
    </row>
    <row r="78" spans="2:14" x14ac:dyDescent="0.25">
      <c r="B78" s="5">
        <v>86</v>
      </c>
      <c r="C78" s="34">
        <v>45331</v>
      </c>
      <c r="D78" s="5" t="s">
        <v>908</v>
      </c>
      <c r="E78" s="36">
        <v>178.9</v>
      </c>
      <c r="F78" s="36">
        <f>E78-G78</f>
        <v>0</v>
      </c>
      <c r="G78" s="36">
        <v>178.9</v>
      </c>
      <c r="H78" s="34">
        <v>45341</v>
      </c>
      <c r="I78" s="34"/>
      <c r="J78" s="34"/>
      <c r="K78" s="5" t="s">
        <v>907</v>
      </c>
      <c r="L78" s="5" t="s">
        <v>309</v>
      </c>
      <c r="M78" s="5" t="s">
        <v>308</v>
      </c>
      <c r="N78" s="45"/>
    </row>
    <row r="79" spans="2:14" x14ac:dyDescent="0.25">
      <c r="B79" s="5">
        <v>63</v>
      </c>
      <c r="C79" s="34">
        <v>45323</v>
      </c>
      <c r="D79" s="5" t="s">
        <v>470</v>
      </c>
      <c r="E79" s="101">
        <v>2400</v>
      </c>
      <c r="F79" s="36">
        <f>E79-G79</f>
        <v>0</v>
      </c>
      <c r="G79" s="101">
        <v>2400</v>
      </c>
      <c r="H79" s="34">
        <v>45351</v>
      </c>
      <c r="I79" s="34"/>
      <c r="J79" s="34"/>
      <c r="K79" s="5" t="s">
        <v>906</v>
      </c>
      <c r="L79" s="5" t="s">
        <v>309</v>
      </c>
      <c r="M79" s="5" t="s">
        <v>822</v>
      </c>
      <c r="N79" s="45"/>
    </row>
    <row r="80" spans="2:14" x14ac:dyDescent="0.25">
      <c r="B80" s="5">
        <v>113</v>
      </c>
      <c r="C80" s="34">
        <v>45348</v>
      </c>
      <c r="D80" s="5" t="s">
        <v>905</v>
      </c>
      <c r="E80" s="36">
        <v>60</v>
      </c>
      <c r="F80" s="36">
        <f>E80-G80</f>
        <v>0</v>
      </c>
      <c r="G80" s="36">
        <v>60</v>
      </c>
      <c r="H80" s="34">
        <v>45349</v>
      </c>
      <c r="I80" s="34"/>
      <c r="J80" s="34"/>
      <c r="K80" s="5" t="s">
        <v>896</v>
      </c>
      <c r="L80" s="5" t="s">
        <v>298</v>
      </c>
      <c r="N80" s="5"/>
    </row>
    <row r="81" spans="2:14" x14ac:dyDescent="0.25">
      <c r="B81" s="5">
        <v>72</v>
      </c>
      <c r="C81" s="34">
        <v>45328</v>
      </c>
      <c r="D81" s="5" t="s">
        <v>632</v>
      </c>
      <c r="E81" s="36">
        <v>768</v>
      </c>
      <c r="F81" s="36">
        <f>E81-G81</f>
        <v>0</v>
      </c>
      <c r="G81" s="36">
        <v>768</v>
      </c>
      <c r="H81" s="34">
        <v>45338</v>
      </c>
      <c r="I81" s="34"/>
      <c r="J81" s="34"/>
      <c r="K81" s="5" t="s">
        <v>849</v>
      </c>
      <c r="L81" s="5" t="s">
        <v>309</v>
      </c>
      <c r="M81" s="5" t="s">
        <v>308</v>
      </c>
      <c r="N81" s="45"/>
    </row>
    <row r="82" spans="2:14" x14ac:dyDescent="0.25">
      <c r="B82" s="5">
        <v>116</v>
      </c>
      <c r="C82" s="34">
        <v>45349</v>
      </c>
      <c r="D82" s="5" t="s">
        <v>371</v>
      </c>
      <c r="E82" s="36">
        <v>140</v>
      </c>
      <c r="F82" s="36">
        <f>E82-G82</f>
        <v>0</v>
      </c>
      <c r="G82" s="36">
        <v>140</v>
      </c>
      <c r="H82" s="34">
        <v>45351</v>
      </c>
      <c r="I82" s="34"/>
      <c r="J82" s="34"/>
      <c r="K82" s="5" t="s">
        <v>904</v>
      </c>
      <c r="L82" s="5" t="s">
        <v>298</v>
      </c>
    </row>
    <row r="83" spans="2:14" x14ac:dyDescent="0.25">
      <c r="B83" s="5">
        <v>118</v>
      </c>
      <c r="C83" s="34">
        <v>45349</v>
      </c>
      <c r="D83" s="5" t="s">
        <v>300</v>
      </c>
      <c r="E83" s="36">
        <v>50</v>
      </c>
      <c r="F83" s="36">
        <f>E83-G83</f>
        <v>0</v>
      </c>
      <c r="G83" s="36">
        <v>50</v>
      </c>
      <c r="H83" s="34">
        <v>45356</v>
      </c>
      <c r="I83" s="34"/>
      <c r="J83" s="34"/>
      <c r="K83" s="5" t="s">
        <v>686</v>
      </c>
      <c r="L83" s="5" t="s">
        <v>309</v>
      </c>
    </row>
    <row r="84" spans="2:14" x14ac:dyDescent="0.25">
      <c r="B84" s="5">
        <v>33</v>
      </c>
      <c r="C84" s="34">
        <v>45308</v>
      </c>
      <c r="D84" s="5" t="s">
        <v>405</v>
      </c>
      <c r="E84" s="36">
        <v>2500</v>
      </c>
      <c r="F84" s="36">
        <f>E84-G84</f>
        <v>0</v>
      </c>
      <c r="G84" s="36">
        <v>2500</v>
      </c>
      <c r="H84" s="34">
        <v>45336</v>
      </c>
      <c r="I84" s="34"/>
      <c r="J84" s="34"/>
      <c r="K84" s="5" t="s">
        <v>903</v>
      </c>
      <c r="L84" s="5" t="s">
        <v>309</v>
      </c>
      <c r="M84" s="5" t="s">
        <v>308</v>
      </c>
      <c r="N84" s="45"/>
    </row>
    <row r="85" spans="2:14" x14ac:dyDescent="0.25">
      <c r="B85" s="5">
        <v>66</v>
      </c>
      <c r="C85" s="34">
        <v>45327</v>
      </c>
      <c r="D85" s="5" t="s">
        <v>405</v>
      </c>
      <c r="E85" s="36">
        <v>3100</v>
      </c>
      <c r="F85" s="36">
        <f>E85-G85</f>
        <v>0</v>
      </c>
      <c r="G85" s="36">
        <v>3100</v>
      </c>
      <c r="H85" s="34">
        <v>45338</v>
      </c>
      <c r="I85" s="34"/>
      <c r="J85" s="34"/>
      <c r="K85" s="5" t="s">
        <v>902</v>
      </c>
      <c r="L85" s="5" t="s">
        <v>309</v>
      </c>
      <c r="M85" s="5" t="s">
        <v>308</v>
      </c>
      <c r="N85" s="45"/>
    </row>
    <row r="86" spans="2:14" x14ac:dyDescent="0.25">
      <c r="B86" s="5">
        <v>122</v>
      </c>
      <c r="C86" s="34">
        <v>45351</v>
      </c>
      <c r="D86" s="5" t="s">
        <v>300</v>
      </c>
      <c r="E86" s="36">
        <v>51</v>
      </c>
      <c r="F86" s="36">
        <f>E86-G86</f>
        <v>0</v>
      </c>
      <c r="G86" s="36">
        <v>51</v>
      </c>
      <c r="H86" s="34">
        <v>45358</v>
      </c>
      <c r="I86" s="34"/>
      <c r="J86" s="34"/>
      <c r="K86" s="5" t="s">
        <v>901</v>
      </c>
      <c r="L86" s="5" t="s">
        <v>309</v>
      </c>
    </row>
    <row r="87" spans="2:14" x14ac:dyDescent="0.25">
      <c r="B87" s="5">
        <v>105</v>
      </c>
      <c r="C87" s="34">
        <v>45344</v>
      </c>
      <c r="D87" s="5" t="s">
        <v>371</v>
      </c>
      <c r="E87" s="36">
        <v>450</v>
      </c>
      <c r="F87" s="36">
        <f>E87-G87</f>
        <v>0</v>
      </c>
      <c r="G87" s="36">
        <v>450</v>
      </c>
      <c r="H87" s="34">
        <v>45345</v>
      </c>
      <c r="I87" s="34"/>
      <c r="J87" s="34"/>
      <c r="K87" s="5" t="s">
        <v>900</v>
      </c>
      <c r="L87" s="5" t="s">
        <v>298</v>
      </c>
      <c r="N87" s="5"/>
    </row>
    <row r="88" spans="2:14" x14ac:dyDescent="0.25">
      <c r="B88" s="5">
        <v>138</v>
      </c>
      <c r="C88" s="34">
        <v>45355</v>
      </c>
      <c r="D88" s="5" t="s">
        <v>402</v>
      </c>
      <c r="E88" s="36">
        <v>831</v>
      </c>
      <c r="F88" s="36">
        <f>E88-G88</f>
        <v>0</v>
      </c>
      <c r="G88" s="36">
        <v>831</v>
      </c>
      <c r="H88" s="34">
        <v>45356</v>
      </c>
      <c r="I88" s="34"/>
      <c r="J88" s="34"/>
      <c r="K88" s="5" t="s">
        <v>686</v>
      </c>
      <c r="L88" s="5" t="s">
        <v>298</v>
      </c>
    </row>
    <row r="89" spans="2:14" x14ac:dyDescent="0.25">
      <c r="B89" s="5">
        <v>13</v>
      </c>
      <c r="C89" s="34">
        <v>45301</v>
      </c>
      <c r="D89" s="5" t="s">
        <v>489</v>
      </c>
      <c r="E89" s="38">
        <v>400</v>
      </c>
      <c r="F89" s="36">
        <f>E89-G89</f>
        <v>0</v>
      </c>
      <c r="G89" s="101">
        <v>400</v>
      </c>
      <c r="H89" s="34">
        <v>45342</v>
      </c>
      <c r="I89" s="34"/>
      <c r="J89" s="34"/>
      <c r="K89" s="5" t="s">
        <v>686</v>
      </c>
      <c r="L89" s="5" t="s">
        <v>309</v>
      </c>
      <c r="M89" s="5" t="s">
        <v>308</v>
      </c>
      <c r="N89" s="45"/>
    </row>
    <row r="90" spans="2:14" x14ac:dyDescent="0.25">
      <c r="B90" s="5">
        <v>61</v>
      </c>
      <c r="C90" s="34">
        <v>45322</v>
      </c>
      <c r="D90" s="5" t="s">
        <v>489</v>
      </c>
      <c r="E90" s="36">
        <v>312</v>
      </c>
      <c r="F90" s="36">
        <f>E90-G90</f>
        <v>0</v>
      </c>
      <c r="G90" s="36">
        <v>312</v>
      </c>
      <c r="H90" s="34">
        <v>45351</v>
      </c>
      <c r="I90" s="34"/>
      <c r="J90" s="34"/>
      <c r="K90" s="5" t="s">
        <v>896</v>
      </c>
      <c r="L90" s="5" t="s">
        <v>309</v>
      </c>
      <c r="M90" s="5" t="s">
        <v>308</v>
      </c>
      <c r="N90" s="5"/>
    </row>
    <row r="91" spans="2:14" x14ac:dyDescent="0.25">
      <c r="B91" s="5">
        <v>62</v>
      </c>
      <c r="C91" s="34">
        <v>45322</v>
      </c>
      <c r="D91" s="5" t="s">
        <v>489</v>
      </c>
      <c r="E91" s="36">
        <v>513</v>
      </c>
      <c r="F91" s="36">
        <f>E91-G91</f>
        <v>0</v>
      </c>
      <c r="G91" s="36">
        <v>513</v>
      </c>
      <c r="H91" s="34">
        <v>45351</v>
      </c>
      <c r="I91" s="34"/>
      <c r="J91" s="34"/>
      <c r="K91" s="5" t="s">
        <v>598</v>
      </c>
      <c r="L91" s="5" t="s">
        <v>309</v>
      </c>
      <c r="M91" s="5" t="s">
        <v>308</v>
      </c>
      <c r="N91" s="5"/>
    </row>
    <row r="92" spans="2:14" x14ac:dyDescent="0.25">
      <c r="B92" s="5">
        <v>79</v>
      </c>
      <c r="C92" s="34">
        <v>45329</v>
      </c>
      <c r="D92" s="5" t="s">
        <v>381</v>
      </c>
      <c r="E92" s="36">
        <v>165.5</v>
      </c>
      <c r="F92" s="36">
        <f>E92-G92</f>
        <v>0</v>
      </c>
      <c r="G92" s="36">
        <v>165.5</v>
      </c>
      <c r="H92" s="34">
        <v>45337</v>
      </c>
      <c r="I92" s="34"/>
      <c r="J92" s="34"/>
      <c r="K92" s="5" t="s">
        <v>598</v>
      </c>
      <c r="L92" s="5" t="s">
        <v>298</v>
      </c>
      <c r="N92" s="45"/>
    </row>
    <row r="93" spans="2:14" x14ac:dyDescent="0.25">
      <c r="B93" s="5">
        <v>55</v>
      </c>
      <c r="C93" s="34">
        <v>45321</v>
      </c>
      <c r="D93" s="5" t="s">
        <v>23</v>
      </c>
      <c r="E93" s="36">
        <v>1266.43</v>
      </c>
      <c r="F93" s="36">
        <f>E93-G93</f>
        <v>0</v>
      </c>
      <c r="G93" s="36">
        <v>1266.43</v>
      </c>
      <c r="H93" s="34">
        <v>45323</v>
      </c>
      <c r="I93" s="34"/>
      <c r="J93" s="34"/>
      <c r="K93" s="5" t="s">
        <v>769</v>
      </c>
      <c r="L93" s="5" t="s">
        <v>303</v>
      </c>
      <c r="M93" s="5" t="s">
        <v>308</v>
      </c>
      <c r="N93" s="5"/>
    </row>
    <row r="94" spans="2:14" x14ac:dyDescent="0.25">
      <c r="B94" s="5">
        <v>136</v>
      </c>
      <c r="C94" s="34">
        <v>45355</v>
      </c>
      <c r="D94" s="5" t="s">
        <v>899</v>
      </c>
      <c r="E94" s="36">
        <v>185.22</v>
      </c>
      <c r="F94" s="36">
        <f>E94-G94</f>
        <v>0</v>
      </c>
      <c r="G94" s="36">
        <v>185.22</v>
      </c>
      <c r="H94" s="34">
        <v>45357</v>
      </c>
      <c r="I94" s="34"/>
      <c r="J94" s="34"/>
      <c r="K94" s="5" t="s">
        <v>887</v>
      </c>
      <c r="L94" s="5" t="s">
        <v>309</v>
      </c>
      <c r="M94" s="5" t="s">
        <v>308</v>
      </c>
    </row>
    <row r="95" spans="2:14" x14ac:dyDescent="0.25">
      <c r="B95" s="5">
        <v>133</v>
      </c>
      <c r="C95" s="34">
        <v>45355</v>
      </c>
      <c r="D95" s="5" t="s">
        <v>307</v>
      </c>
      <c r="E95" s="33">
        <v>172.27</v>
      </c>
      <c r="F95" s="36">
        <f>E95-G95</f>
        <v>0</v>
      </c>
      <c r="G95" s="33">
        <v>172.27</v>
      </c>
      <c r="H95" s="34">
        <v>45357</v>
      </c>
      <c r="I95" s="34"/>
      <c r="J95" s="34"/>
      <c r="K95" s="5" t="s">
        <v>887</v>
      </c>
      <c r="L95" s="5" t="s">
        <v>309</v>
      </c>
      <c r="M95" s="5" t="s">
        <v>308</v>
      </c>
    </row>
    <row r="96" spans="2:14" x14ac:dyDescent="0.25">
      <c r="B96" s="5">
        <v>121</v>
      </c>
      <c r="C96" s="34">
        <v>45351</v>
      </c>
      <c r="D96" s="5" t="s">
        <v>300</v>
      </c>
      <c r="E96" s="36">
        <v>424</v>
      </c>
      <c r="F96" s="36">
        <f>E96-G96</f>
        <v>0</v>
      </c>
      <c r="G96" s="36">
        <v>424</v>
      </c>
      <c r="H96" s="34">
        <v>45358</v>
      </c>
      <c r="I96" s="34"/>
      <c r="J96" s="34"/>
      <c r="K96" s="5" t="s">
        <v>686</v>
      </c>
      <c r="L96" s="5" t="s">
        <v>309</v>
      </c>
      <c r="M96" s="5" t="s">
        <v>308</v>
      </c>
    </row>
    <row r="97" spans="2:14" x14ac:dyDescent="0.25">
      <c r="B97" s="5">
        <v>117</v>
      </c>
      <c r="C97" s="34">
        <v>45349</v>
      </c>
      <c r="D97" s="5" t="s">
        <v>300</v>
      </c>
      <c r="E97" s="36">
        <v>136</v>
      </c>
      <c r="F97" s="36">
        <f>E97-G97</f>
        <v>0</v>
      </c>
      <c r="G97" s="36">
        <v>136</v>
      </c>
      <c r="H97" s="34">
        <v>45356</v>
      </c>
      <c r="I97" s="34"/>
      <c r="J97" s="34"/>
      <c r="K97" s="5" t="s">
        <v>598</v>
      </c>
      <c r="L97" s="5" t="s">
        <v>309</v>
      </c>
      <c r="M97" s="5" t="s">
        <v>308</v>
      </c>
    </row>
    <row r="98" spans="2:14" x14ac:dyDescent="0.25">
      <c r="B98" s="5">
        <v>98</v>
      </c>
      <c r="C98" s="34">
        <v>45342</v>
      </c>
      <c r="D98" s="5" t="s">
        <v>300</v>
      </c>
      <c r="E98" s="36">
        <v>148</v>
      </c>
      <c r="F98" s="36">
        <f>E98-G98</f>
        <v>0</v>
      </c>
      <c r="G98" s="36">
        <v>148</v>
      </c>
      <c r="H98" s="34">
        <v>45349</v>
      </c>
      <c r="I98" s="34"/>
      <c r="J98" s="34"/>
      <c r="K98" s="5" t="s">
        <v>598</v>
      </c>
      <c r="L98" s="5" t="s">
        <v>309</v>
      </c>
    </row>
    <row r="99" spans="2:14" x14ac:dyDescent="0.25">
      <c r="B99" s="5">
        <v>128</v>
      </c>
      <c r="C99" s="34">
        <v>45352</v>
      </c>
      <c r="D99" s="5" t="s">
        <v>300</v>
      </c>
      <c r="E99" s="36">
        <v>38</v>
      </c>
      <c r="F99" s="36">
        <f>E99-G99</f>
        <v>0</v>
      </c>
      <c r="G99" s="36">
        <v>38</v>
      </c>
      <c r="H99" s="34">
        <v>45359</v>
      </c>
      <c r="I99" s="34"/>
      <c r="J99" s="34"/>
      <c r="K99" s="5" t="s">
        <v>686</v>
      </c>
      <c r="L99" s="5" t="s">
        <v>309</v>
      </c>
      <c r="M99" s="5" t="s">
        <v>308</v>
      </c>
    </row>
    <row r="100" spans="2:14" x14ac:dyDescent="0.25">
      <c r="B100" s="5">
        <v>129</v>
      </c>
      <c r="C100" s="34">
        <v>45352</v>
      </c>
      <c r="D100" s="5" t="s">
        <v>300</v>
      </c>
      <c r="E100" s="36">
        <v>30</v>
      </c>
      <c r="F100" s="36">
        <f>E100-G100</f>
        <v>0</v>
      </c>
      <c r="G100" s="36">
        <v>30</v>
      </c>
      <c r="H100" s="34">
        <v>45359</v>
      </c>
      <c r="I100" s="34"/>
      <c r="J100" s="34"/>
      <c r="K100" s="5" t="s">
        <v>898</v>
      </c>
      <c r="L100" s="5" t="s">
        <v>309</v>
      </c>
      <c r="M100" s="5" t="s">
        <v>308</v>
      </c>
      <c r="N100" s="5"/>
    </row>
    <row r="101" spans="2:14" x14ac:dyDescent="0.25">
      <c r="B101" s="5">
        <v>100</v>
      </c>
      <c r="C101" s="34">
        <v>45342</v>
      </c>
      <c r="D101" s="5" t="s">
        <v>450</v>
      </c>
      <c r="E101" s="36">
        <v>2615</v>
      </c>
      <c r="F101" s="36">
        <f>E101-G101</f>
        <v>0</v>
      </c>
      <c r="G101" s="36">
        <v>2615</v>
      </c>
      <c r="H101" s="34">
        <v>45356</v>
      </c>
      <c r="I101" s="34"/>
      <c r="J101" s="34"/>
      <c r="K101" s="5" t="s">
        <v>629</v>
      </c>
      <c r="L101" s="5" t="s">
        <v>309</v>
      </c>
      <c r="M101" s="5" t="s">
        <v>308</v>
      </c>
      <c r="N101" s="45"/>
    </row>
    <row r="102" spans="2:14" x14ac:dyDescent="0.25">
      <c r="B102" s="5">
        <v>137</v>
      </c>
      <c r="C102" s="34">
        <v>45355</v>
      </c>
      <c r="D102" s="5" t="s">
        <v>537</v>
      </c>
      <c r="E102" s="36">
        <v>452.08</v>
      </c>
      <c r="F102" s="36">
        <f>E102-G102</f>
        <v>0</v>
      </c>
      <c r="G102" s="36">
        <v>452.08</v>
      </c>
      <c r="H102" s="34">
        <v>45358</v>
      </c>
      <c r="I102" s="34"/>
      <c r="J102" s="34"/>
      <c r="K102" s="5" t="s">
        <v>525</v>
      </c>
      <c r="L102" s="5" t="s">
        <v>298</v>
      </c>
    </row>
    <row r="103" spans="2:14" x14ac:dyDescent="0.25">
      <c r="B103" s="5">
        <v>126</v>
      </c>
      <c r="C103" s="34">
        <v>45352</v>
      </c>
      <c r="D103" s="5" t="s">
        <v>300</v>
      </c>
      <c r="E103" s="36">
        <v>308</v>
      </c>
      <c r="F103" s="36">
        <f>E103-G103</f>
        <v>0</v>
      </c>
      <c r="G103" s="36">
        <v>308</v>
      </c>
      <c r="H103" s="34">
        <v>45359</v>
      </c>
      <c r="I103" s="34"/>
      <c r="J103" s="34"/>
      <c r="K103" s="5" t="s">
        <v>686</v>
      </c>
      <c r="L103" s="5" t="s">
        <v>309</v>
      </c>
      <c r="M103" s="5" t="s">
        <v>308</v>
      </c>
      <c r="N103" s="5"/>
    </row>
    <row r="104" spans="2:14" x14ac:dyDescent="0.25">
      <c r="B104" s="5">
        <v>141</v>
      </c>
      <c r="C104" s="34">
        <v>45356</v>
      </c>
      <c r="D104" s="5" t="s">
        <v>307</v>
      </c>
      <c r="E104" s="36">
        <v>10.37</v>
      </c>
      <c r="F104" s="36">
        <f>E104-G104</f>
        <v>0</v>
      </c>
      <c r="G104" s="36">
        <v>10.37</v>
      </c>
      <c r="H104" s="34">
        <v>45358</v>
      </c>
      <c r="I104" s="34"/>
      <c r="J104" s="34"/>
      <c r="K104" s="5" t="s">
        <v>897</v>
      </c>
      <c r="L104" s="5" t="s">
        <v>309</v>
      </c>
      <c r="M104" s="5" t="s">
        <v>308</v>
      </c>
    </row>
    <row r="105" spans="2:14" x14ac:dyDescent="0.25">
      <c r="B105" s="5">
        <v>132</v>
      </c>
      <c r="C105" s="34">
        <v>45352</v>
      </c>
      <c r="D105" s="5" t="s">
        <v>23</v>
      </c>
      <c r="E105" s="36">
        <v>1711.67</v>
      </c>
      <c r="F105" s="36">
        <f>E105-G105</f>
        <v>0</v>
      </c>
      <c r="G105" s="36">
        <v>1711.67</v>
      </c>
      <c r="H105" s="34">
        <v>45358</v>
      </c>
      <c r="I105" s="34"/>
      <c r="J105" s="34"/>
      <c r="K105" s="5" t="s">
        <v>887</v>
      </c>
      <c r="L105" s="5" t="s">
        <v>309</v>
      </c>
      <c r="M105" s="5" t="s">
        <v>308</v>
      </c>
    </row>
    <row r="106" spans="2:14" x14ac:dyDescent="0.25">
      <c r="B106" s="5">
        <v>134</v>
      </c>
      <c r="C106" s="34">
        <v>45355</v>
      </c>
      <c r="D106" s="5" t="s">
        <v>328</v>
      </c>
      <c r="E106" s="36">
        <v>145.77000000000001</v>
      </c>
      <c r="F106" s="36">
        <f>E106-G106</f>
        <v>0</v>
      </c>
      <c r="G106" s="36">
        <v>145.77000000000001</v>
      </c>
      <c r="H106" s="34">
        <v>45357</v>
      </c>
      <c r="I106" s="34"/>
      <c r="J106" s="34"/>
      <c r="K106" s="5" t="s">
        <v>887</v>
      </c>
      <c r="L106" s="5" t="s">
        <v>298</v>
      </c>
    </row>
    <row r="107" spans="2:14" x14ac:dyDescent="0.25">
      <c r="B107" s="5">
        <v>53</v>
      </c>
      <c r="C107" s="34">
        <v>45320</v>
      </c>
      <c r="D107" s="5" t="s">
        <v>402</v>
      </c>
      <c r="E107" s="36">
        <v>447</v>
      </c>
      <c r="F107" s="36">
        <f>E107-G107</f>
        <v>0</v>
      </c>
      <c r="G107" s="36">
        <v>447</v>
      </c>
      <c r="H107" s="34">
        <v>45342</v>
      </c>
      <c r="I107" s="34"/>
      <c r="J107" s="34"/>
      <c r="K107" s="5" t="s">
        <v>896</v>
      </c>
      <c r="L107" s="5" t="s">
        <v>303</v>
      </c>
      <c r="M107" s="5" t="s">
        <v>308</v>
      </c>
      <c r="N107" s="45"/>
    </row>
    <row r="108" spans="2:14" x14ac:dyDescent="0.25">
      <c r="B108" s="5">
        <v>140</v>
      </c>
      <c r="C108" s="34">
        <v>45356</v>
      </c>
      <c r="D108" s="5" t="s">
        <v>23</v>
      </c>
      <c r="E108" s="36">
        <v>144.61000000000001</v>
      </c>
      <c r="F108" s="36">
        <f>E108-G108</f>
        <v>0</v>
      </c>
      <c r="G108" s="36">
        <v>144.61000000000001</v>
      </c>
      <c r="H108" s="34">
        <v>45358</v>
      </c>
      <c r="I108" s="34"/>
      <c r="J108" s="34"/>
      <c r="K108" s="5" t="s">
        <v>810</v>
      </c>
      <c r="L108" s="5" t="s">
        <v>309</v>
      </c>
      <c r="M108" s="5" t="s">
        <v>308</v>
      </c>
      <c r="N108" s="45"/>
    </row>
    <row r="109" spans="2:14" x14ac:dyDescent="0.25">
      <c r="B109" s="5">
        <v>85</v>
      </c>
      <c r="C109" s="34">
        <v>45331</v>
      </c>
      <c r="D109" s="5" t="s">
        <v>23</v>
      </c>
      <c r="E109" s="36">
        <v>2378.38</v>
      </c>
      <c r="F109" s="36">
        <f>E109-G109</f>
        <v>0</v>
      </c>
      <c r="G109" s="36">
        <v>2378.38</v>
      </c>
      <c r="H109" s="34">
        <v>45361</v>
      </c>
      <c r="I109" s="34"/>
      <c r="J109" s="34"/>
      <c r="K109" s="5" t="s">
        <v>686</v>
      </c>
      <c r="L109" s="5" t="s">
        <v>309</v>
      </c>
      <c r="M109" s="5" t="s">
        <v>308</v>
      </c>
      <c r="N109" s="5"/>
    </row>
    <row r="110" spans="2:14" x14ac:dyDescent="0.25">
      <c r="B110" s="5">
        <v>51</v>
      </c>
      <c r="C110" s="34">
        <v>45311</v>
      </c>
      <c r="D110" s="5" t="s">
        <v>347</v>
      </c>
      <c r="E110" s="36">
        <v>2282</v>
      </c>
      <c r="F110" s="36">
        <f>E110-G110</f>
        <v>0</v>
      </c>
      <c r="G110" s="36">
        <v>2282</v>
      </c>
      <c r="H110" s="34">
        <v>45334</v>
      </c>
      <c r="I110" s="34"/>
      <c r="J110" s="34"/>
      <c r="K110" s="5" t="s">
        <v>598</v>
      </c>
      <c r="L110" s="5" t="s">
        <v>309</v>
      </c>
      <c r="M110" s="5" t="s">
        <v>308</v>
      </c>
      <c r="N110" s="45"/>
    </row>
    <row r="111" spans="2:14" x14ac:dyDescent="0.25">
      <c r="B111" s="5">
        <v>120</v>
      </c>
      <c r="C111" s="34">
        <v>45350</v>
      </c>
      <c r="D111" s="5" t="s">
        <v>328</v>
      </c>
      <c r="E111" s="36">
        <v>124.41</v>
      </c>
      <c r="F111" s="36">
        <f>E111-G111</f>
        <v>0</v>
      </c>
      <c r="G111" s="36">
        <v>124.41</v>
      </c>
      <c r="H111" s="34">
        <v>45352</v>
      </c>
      <c r="I111" s="34"/>
      <c r="J111" s="34"/>
      <c r="K111" s="5" t="s">
        <v>737</v>
      </c>
      <c r="L111" s="5" t="s">
        <v>309</v>
      </c>
      <c r="N111" s="45"/>
    </row>
    <row r="112" spans="2:14" x14ac:dyDescent="0.25">
      <c r="B112" s="5">
        <v>147</v>
      </c>
      <c r="C112" s="34">
        <v>45358</v>
      </c>
      <c r="D112" s="5" t="s">
        <v>307</v>
      </c>
      <c r="E112" s="36">
        <v>9.3000000000000007</v>
      </c>
      <c r="F112" s="36">
        <f>E112-G112</f>
        <v>0</v>
      </c>
      <c r="G112" s="36">
        <v>9.3000000000000007</v>
      </c>
      <c r="H112" s="34">
        <v>45359</v>
      </c>
      <c r="I112" s="34"/>
      <c r="J112" s="34"/>
      <c r="K112" s="5" t="s">
        <v>598</v>
      </c>
      <c r="L112" s="5" t="s">
        <v>298</v>
      </c>
      <c r="N112" s="5"/>
    </row>
    <row r="113" spans="2:14" x14ac:dyDescent="0.25">
      <c r="B113" s="5">
        <v>97</v>
      </c>
      <c r="C113" s="34">
        <v>45342</v>
      </c>
      <c r="D113" s="5" t="s">
        <v>436</v>
      </c>
      <c r="E113" s="36">
        <v>192</v>
      </c>
      <c r="F113" s="36">
        <f>E113-G113</f>
        <v>0</v>
      </c>
      <c r="G113" s="36">
        <v>192</v>
      </c>
      <c r="H113" s="34">
        <v>45349</v>
      </c>
      <c r="I113" s="34"/>
      <c r="J113" s="34"/>
      <c r="K113" s="5" t="s">
        <v>598</v>
      </c>
      <c r="L113" s="5" t="s">
        <v>309</v>
      </c>
      <c r="M113" s="5" t="s">
        <v>308</v>
      </c>
    </row>
    <row r="114" spans="2:14" x14ac:dyDescent="0.25">
      <c r="B114" s="5">
        <v>143</v>
      </c>
      <c r="C114" s="34">
        <v>45356</v>
      </c>
      <c r="D114" s="5" t="s">
        <v>436</v>
      </c>
      <c r="E114" s="36">
        <v>1618</v>
      </c>
      <c r="F114" s="36">
        <f>E114-G114</f>
        <v>0</v>
      </c>
      <c r="G114" s="36">
        <v>1618</v>
      </c>
      <c r="H114" s="34">
        <v>45363</v>
      </c>
      <c r="I114" s="34"/>
      <c r="J114" s="34"/>
      <c r="K114" s="5" t="s">
        <v>686</v>
      </c>
      <c r="L114" s="5" t="s">
        <v>309</v>
      </c>
      <c r="M114" s="5" t="s">
        <v>822</v>
      </c>
      <c r="N114" s="5"/>
    </row>
    <row r="115" spans="2:14" x14ac:dyDescent="0.25">
      <c r="B115" s="5">
        <v>123</v>
      </c>
      <c r="C115" s="34">
        <v>45351</v>
      </c>
      <c r="D115" s="5" t="s">
        <v>300</v>
      </c>
      <c r="E115" s="36">
        <v>140</v>
      </c>
      <c r="F115" s="36">
        <f>E115-G115</f>
        <v>0</v>
      </c>
      <c r="G115" s="36">
        <v>140</v>
      </c>
      <c r="H115" s="34">
        <v>45358</v>
      </c>
      <c r="I115" s="34"/>
      <c r="J115" s="34"/>
      <c r="K115" s="5" t="s">
        <v>686</v>
      </c>
      <c r="L115" s="5" t="s">
        <v>309</v>
      </c>
    </row>
    <row r="116" spans="2:14" x14ac:dyDescent="0.25">
      <c r="B116" s="5">
        <v>151</v>
      </c>
      <c r="C116" s="34">
        <v>45359</v>
      </c>
      <c r="D116" s="5" t="s">
        <v>183</v>
      </c>
      <c r="E116" s="36">
        <v>267.81</v>
      </c>
      <c r="F116" s="36">
        <f>E116-G116</f>
        <v>0</v>
      </c>
      <c r="G116" s="36">
        <v>267.81</v>
      </c>
      <c r="H116" s="34">
        <v>45371</v>
      </c>
      <c r="I116" s="34"/>
      <c r="J116" s="34"/>
      <c r="K116" s="5" t="s">
        <v>849</v>
      </c>
      <c r="L116" s="5" t="s">
        <v>309</v>
      </c>
      <c r="M116" s="5" t="s">
        <v>308</v>
      </c>
    </row>
    <row r="117" spans="2:14" x14ac:dyDescent="0.25">
      <c r="B117" s="5">
        <v>76</v>
      </c>
      <c r="C117" s="34">
        <v>45328</v>
      </c>
      <c r="D117" s="5" t="s">
        <v>489</v>
      </c>
      <c r="E117" s="36">
        <v>291</v>
      </c>
      <c r="F117" s="36">
        <f>E117-G117</f>
        <v>0</v>
      </c>
      <c r="G117" s="36">
        <v>291</v>
      </c>
      <c r="H117" s="34">
        <v>45359</v>
      </c>
      <c r="I117" s="34"/>
      <c r="J117" s="34"/>
      <c r="K117" s="5" t="s">
        <v>895</v>
      </c>
      <c r="L117" s="5" t="s">
        <v>309</v>
      </c>
      <c r="M117" s="5" t="s">
        <v>308</v>
      </c>
      <c r="N117" s="45"/>
    </row>
    <row r="118" spans="2:14" x14ac:dyDescent="0.25">
      <c r="B118" s="5">
        <v>145</v>
      </c>
      <c r="C118" s="34">
        <v>45358</v>
      </c>
      <c r="D118" s="5" t="s">
        <v>446</v>
      </c>
      <c r="E118" s="33">
        <v>340</v>
      </c>
      <c r="F118" s="36">
        <f>E118-G118</f>
        <v>0</v>
      </c>
      <c r="G118" s="33">
        <v>340</v>
      </c>
      <c r="H118" s="34">
        <v>45366</v>
      </c>
      <c r="I118" s="34"/>
      <c r="J118" s="34"/>
      <c r="K118" s="5" t="s">
        <v>810</v>
      </c>
      <c r="L118" s="5" t="s">
        <v>298</v>
      </c>
    </row>
    <row r="119" spans="2:14" x14ac:dyDescent="0.25">
      <c r="B119" s="5">
        <v>144</v>
      </c>
      <c r="C119" s="34">
        <v>45357</v>
      </c>
      <c r="D119" s="5" t="s">
        <v>370</v>
      </c>
      <c r="E119" s="36">
        <v>291.2</v>
      </c>
      <c r="F119" s="36">
        <f>E119-G119</f>
        <v>0</v>
      </c>
      <c r="G119" s="36">
        <v>291.2</v>
      </c>
      <c r="H119" s="34">
        <v>45364</v>
      </c>
      <c r="I119" s="34"/>
      <c r="J119" s="34"/>
      <c r="K119" s="5" t="s">
        <v>894</v>
      </c>
      <c r="L119" s="5" t="s">
        <v>309</v>
      </c>
      <c r="M119" s="5" t="s">
        <v>308</v>
      </c>
    </row>
    <row r="120" spans="2:14" x14ac:dyDescent="0.25">
      <c r="B120" s="5">
        <v>154</v>
      </c>
      <c r="C120" s="34">
        <v>45363</v>
      </c>
      <c r="D120" s="5" t="s">
        <v>300</v>
      </c>
      <c r="E120" s="33">
        <v>154</v>
      </c>
      <c r="F120" s="36">
        <f>E120-G120</f>
        <v>0</v>
      </c>
      <c r="G120" s="33">
        <v>154</v>
      </c>
      <c r="H120" s="34">
        <v>45370</v>
      </c>
      <c r="I120" s="34"/>
      <c r="J120" s="34"/>
      <c r="K120" s="5" t="s">
        <v>525</v>
      </c>
      <c r="L120" s="5" t="s">
        <v>309</v>
      </c>
      <c r="M120" s="5" t="s">
        <v>308</v>
      </c>
    </row>
    <row r="121" spans="2:14" x14ac:dyDescent="0.25">
      <c r="B121" s="5">
        <v>153</v>
      </c>
      <c r="C121" s="34">
        <v>45363</v>
      </c>
      <c r="D121" s="5" t="s">
        <v>300</v>
      </c>
      <c r="E121" s="33">
        <v>204</v>
      </c>
      <c r="F121" s="36">
        <f>E121-G121</f>
        <v>0</v>
      </c>
      <c r="G121" s="33">
        <v>204</v>
      </c>
      <c r="H121" s="34">
        <v>45370</v>
      </c>
      <c r="I121" s="34"/>
      <c r="J121" s="34"/>
      <c r="K121" s="5" t="s">
        <v>686</v>
      </c>
      <c r="L121" s="5" t="s">
        <v>309</v>
      </c>
      <c r="M121" s="5" t="s">
        <v>308</v>
      </c>
    </row>
    <row r="122" spans="2:14" x14ac:dyDescent="0.25">
      <c r="B122" s="5">
        <v>160</v>
      </c>
      <c r="C122" s="34">
        <v>45364</v>
      </c>
      <c r="D122" s="5" t="s">
        <v>23</v>
      </c>
      <c r="E122" s="36">
        <v>140</v>
      </c>
      <c r="F122" s="36">
        <f>E122-G122</f>
        <v>0</v>
      </c>
      <c r="G122" s="36">
        <v>140</v>
      </c>
      <c r="H122" s="34">
        <v>45366</v>
      </c>
      <c r="I122" s="34"/>
      <c r="J122" s="34"/>
      <c r="K122" s="5" t="s">
        <v>598</v>
      </c>
      <c r="L122" s="5" t="s">
        <v>309</v>
      </c>
      <c r="M122" s="5" t="s">
        <v>308</v>
      </c>
    </row>
    <row r="123" spans="2:14" x14ac:dyDescent="0.25">
      <c r="B123" s="5">
        <v>67</v>
      </c>
      <c r="C123" s="34">
        <v>45327</v>
      </c>
      <c r="D123" s="5" t="s">
        <v>328</v>
      </c>
      <c r="E123" s="36">
        <v>297.98</v>
      </c>
      <c r="F123" s="36">
        <f>E123-G123</f>
        <v>0</v>
      </c>
      <c r="G123" s="36">
        <v>297.98</v>
      </c>
      <c r="H123" s="34">
        <v>45329</v>
      </c>
      <c r="I123" s="34"/>
      <c r="J123" s="34"/>
      <c r="K123" s="5" t="s">
        <v>849</v>
      </c>
      <c r="L123" s="5" t="s">
        <v>309</v>
      </c>
      <c r="M123" s="5" t="s">
        <v>308</v>
      </c>
      <c r="N123" s="45"/>
    </row>
    <row r="124" spans="2:14" x14ac:dyDescent="0.25">
      <c r="B124" s="5">
        <v>158</v>
      </c>
      <c r="C124" s="34">
        <v>45363</v>
      </c>
      <c r="D124" s="5" t="s">
        <v>23</v>
      </c>
      <c r="E124" s="36">
        <v>141.6</v>
      </c>
      <c r="F124" s="36">
        <f>E124-G124</f>
        <v>0</v>
      </c>
      <c r="G124" s="36">
        <v>141.6</v>
      </c>
      <c r="H124" s="34">
        <v>45366</v>
      </c>
      <c r="I124" s="34"/>
      <c r="J124" s="34"/>
      <c r="K124" s="5" t="s">
        <v>598</v>
      </c>
      <c r="L124" s="5" t="s">
        <v>309</v>
      </c>
      <c r="M124" s="5" t="s">
        <v>308</v>
      </c>
    </row>
    <row r="125" spans="2:14" x14ac:dyDescent="0.25">
      <c r="B125" s="5">
        <v>139</v>
      </c>
      <c r="C125" s="34">
        <v>45355</v>
      </c>
      <c r="D125" s="5" t="s">
        <v>491</v>
      </c>
      <c r="E125" s="33">
        <v>32.619999999999997</v>
      </c>
      <c r="F125" s="36">
        <f>E125-G125</f>
        <v>0</v>
      </c>
      <c r="G125" s="33">
        <v>32.619999999999997</v>
      </c>
      <c r="H125" s="34">
        <v>45364</v>
      </c>
      <c r="I125" s="34"/>
      <c r="J125" s="34"/>
      <c r="K125" s="5" t="s">
        <v>887</v>
      </c>
      <c r="L125" s="5" t="s">
        <v>298</v>
      </c>
    </row>
    <row r="126" spans="2:14" x14ac:dyDescent="0.25">
      <c r="B126" s="5">
        <v>148</v>
      </c>
      <c r="C126" s="34">
        <v>45358</v>
      </c>
      <c r="D126" s="5" t="s">
        <v>335</v>
      </c>
      <c r="E126" s="36">
        <v>228.02</v>
      </c>
      <c r="F126" s="36">
        <f>E126-G126</f>
        <v>0</v>
      </c>
      <c r="G126" s="36">
        <v>228.02</v>
      </c>
      <c r="H126" s="34">
        <v>45371</v>
      </c>
      <c r="I126" s="34"/>
      <c r="J126" s="34"/>
      <c r="K126" s="5" t="s">
        <v>887</v>
      </c>
      <c r="L126" s="5" t="s">
        <v>309</v>
      </c>
      <c r="M126" s="5" t="s">
        <v>308</v>
      </c>
    </row>
    <row r="127" spans="2:14" x14ac:dyDescent="0.25">
      <c r="B127" s="5">
        <v>209</v>
      </c>
      <c r="C127" s="34">
        <v>45189</v>
      </c>
      <c r="D127" s="5" t="s">
        <v>879</v>
      </c>
      <c r="E127" s="36">
        <v>5810</v>
      </c>
      <c r="F127" s="36">
        <f>E127-G127</f>
        <v>0</v>
      </c>
      <c r="G127" s="36">
        <v>5810</v>
      </c>
      <c r="H127" s="34">
        <v>45381</v>
      </c>
      <c r="I127" s="34"/>
      <c r="J127" s="34"/>
      <c r="K127" s="5" t="s">
        <v>686</v>
      </c>
      <c r="L127" s="5" t="s">
        <v>309</v>
      </c>
      <c r="M127" s="5" t="s">
        <v>308</v>
      </c>
    </row>
    <row r="128" spans="2:14" x14ac:dyDescent="0.25">
      <c r="B128" s="5">
        <v>156</v>
      </c>
      <c r="C128" s="34">
        <v>45363</v>
      </c>
      <c r="D128" s="5" t="s">
        <v>23</v>
      </c>
      <c r="E128" s="36">
        <v>2374.0700000000002</v>
      </c>
      <c r="F128" s="36">
        <f>E128-G128</f>
        <v>0</v>
      </c>
      <c r="G128" s="36">
        <v>2374.0700000000002</v>
      </c>
      <c r="H128" s="34">
        <v>45369</v>
      </c>
      <c r="I128" s="34"/>
      <c r="J128" s="34"/>
      <c r="K128" s="5" t="s">
        <v>686</v>
      </c>
      <c r="L128" s="5" t="s">
        <v>298</v>
      </c>
    </row>
    <row r="129" spans="2:15" x14ac:dyDescent="0.25">
      <c r="B129" s="5">
        <v>52</v>
      </c>
      <c r="C129" s="34">
        <v>45320</v>
      </c>
      <c r="D129" s="5" t="s">
        <v>402</v>
      </c>
      <c r="E129" s="36">
        <v>1476.2</v>
      </c>
      <c r="F129" s="36">
        <f>E129-G129</f>
        <v>0</v>
      </c>
      <c r="G129" s="36">
        <v>1476.2</v>
      </c>
      <c r="H129" s="34">
        <v>45342</v>
      </c>
      <c r="I129" s="34"/>
      <c r="J129" s="34"/>
      <c r="K129" s="5" t="s">
        <v>598</v>
      </c>
      <c r="L129" s="5" t="s">
        <v>303</v>
      </c>
      <c r="M129" s="5" t="s">
        <v>308</v>
      </c>
      <c r="N129" s="45"/>
    </row>
    <row r="130" spans="2:15" x14ac:dyDescent="0.25">
      <c r="B130" s="5">
        <v>164</v>
      </c>
      <c r="C130" s="34">
        <v>45365</v>
      </c>
      <c r="D130" s="5" t="s">
        <v>307</v>
      </c>
      <c r="E130" s="36">
        <v>101.11</v>
      </c>
      <c r="F130" s="36">
        <f>E130-G130</f>
        <v>0</v>
      </c>
      <c r="G130" s="36">
        <v>101.11</v>
      </c>
      <c r="H130" s="34">
        <v>45370</v>
      </c>
      <c r="I130" s="34"/>
      <c r="J130" s="34"/>
      <c r="K130" s="5" t="s">
        <v>893</v>
      </c>
      <c r="L130" s="5" t="s">
        <v>309</v>
      </c>
      <c r="M130" s="5" t="s">
        <v>308</v>
      </c>
      <c r="N130" s="5"/>
    </row>
    <row r="131" spans="2:15" x14ac:dyDescent="0.25">
      <c r="B131" s="5">
        <v>174</v>
      </c>
      <c r="C131" s="34">
        <v>45370</v>
      </c>
      <c r="D131" s="5" t="s">
        <v>402</v>
      </c>
      <c r="E131" s="36">
        <v>51.6</v>
      </c>
      <c r="F131" s="36">
        <f>E131-G131</f>
        <v>0</v>
      </c>
      <c r="G131" s="36">
        <v>51.6</v>
      </c>
      <c r="H131" s="34">
        <v>45371</v>
      </c>
      <c r="I131" s="34"/>
      <c r="J131" s="34"/>
      <c r="K131" s="5" t="s">
        <v>525</v>
      </c>
      <c r="L131" s="5" t="s">
        <v>309</v>
      </c>
      <c r="M131" s="5" t="s">
        <v>308</v>
      </c>
      <c r="N131" s="5"/>
    </row>
    <row r="132" spans="2:15" x14ac:dyDescent="0.25">
      <c r="B132" s="5">
        <v>175</v>
      </c>
      <c r="C132" s="34">
        <v>45370</v>
      </c>
      <c r="D132" s="5" t="s">
        <v>402</v>
      </c>
      <c r="E132" s="36">
        <v>264</v>
      </c>
      <c r="F132" s="36">
        <f>E132-G132</f>
        <v>0</v>
      </c>
      <c r="G132" s="36">
        <v>264</v>
      </c>
      <c r="H132" s="34">
        <v>45371</v>
      </c>
      <c r="I132" s="34"/>
      <c r="J132" s="34"/>
      <c r="K132" s="5" t="s">
        <v>892</v>
      </c>
      <c r="L132" s="5" t="s">
        <v>309</v>
      </c>
      <c r="M132" s="5" t="s">
        <v>308</v>
      </c>
      <c r="N132" s="5"/>
    </row>
    <row r="133" spans="2:15" x14ac:dyDescent="0.25">
      <c r="B133" s="5">
        <v>163</v>
      </c>
      <c r="C133" s="34">
        <v>45365</v>
      </c>
      <c r="D133" s="5" t="s">
        <v>300</v>
      </c>
      <c r="E133" s="33">
        <v>124</v>
      </c>
      <c r="F133" s="36">
        <f>E133-G133</f>
        <v>0</v>
      </c>
      <c r="G133" s="33">
        <v>124</v>
      </c>
      <c r="H133" s="34">
        <v>45372</v>
      </c>
      <c r="I133" s="34"/>
      <c r="J133" s="34"/>
      <c r="K133" s="5" t="s">
        <v>686</v>
      </c>
      <c r="L133" s="5" t="s">
        <v>309</v>
      </c>
      <c r="M133" s="5" t="s">
        <v>308</v>
      </c>
    </row>
    <row r="134" spans="2:15" x14ac:dyDescent="0.25">
      <c r="B134" s="5">
        <v>17</v>
      </c>
      <c r="C134" s="34">
        <v>45302</v>
      </c>
      <c r="D134" s="5" t="s">
        <v>891</v>
      </c>
      <c r="E134" s="38">
        <f>O134*O2</f>
        <v>237.15</v>
      </c>
      <c r="F134" s="36">
        <f>E134-G134</f>
        <v>0</v>
      </c>
      <c r="G134" s="101">
        <v>237.15</v>
      </c>
      <c r="H134" s="34">
        <v>45322</v>
      </c>
      <c r="I134" s="34"/>
      <c r="J134" s="34"/>
      <c r="K134" s="5" t="s">
        <v>742</v>
      </c>
      <c r="L134" s="5" t="s">
        <v>309</v>
      </c>
      <c r="M134" s="5" t="s">
        <v>308</v>
      </c>
      <c r="N134" s="5" t="s">
        <v>391</v>
      </c>
      <c r="O134" s="5">
        <v>255</v>
      </c>
    </row>
    <row r="135" spans="2:15" x14ac:dyDescent="0.25">
      <c r="B135" s="5">
        <v>179</v>
      </c>
      <c r="C135" s="34">
        <v>45371</v>
      </c>
      <c r="D135" s="5" t="s">
        <v>436</v>
      </c>
      <c r="E135" s="33">
        <v>240</v>
      </c>
      <c r="F135" s="36">
        <f>E135-G135</f>
        <v>0</v>
      </c>
      <c r="G135" s="101">
        <v>240</v>
      </c>
      <c r="H135" s="34">
        <v>45378</v>
      </c>
      <c r="I135" s="34"/>
      <c r="J135" s="34"/>
      <c r="K135" s="5" t="s">
        <v>686</v>
      </c>
      <c r="L135" s="5" t="s">
        <v>309</v>
      </c>
    </row>
    <row r="136" spans="2:15" x14ac:dyDescent="0.25">
      <c r="B136" s="5">
        <v>119</v>
      </c>
      <c r="C136" s="34">
        <v>45350</v>
      </c>
      <c r="D136" s="5" t="s">
        <v>890</v>
      </c>
      <c r="E136" s="36">
        <v>230</v>
      </c>
      <c r="F136" s="36">
        <f>E136-G136</f>
        <v>0</v>
      </c>
      <c r="G136" s="36">
        <v>230</v>
      </c>
      <c r="H136" s="34">
        <v>45364</v>
      </c>
      <c r="I136" s="34"/>
      <c r="J136" s="34"/>
      <c r="K136" s="5" t="s">
        <v>849</v>
      </c>
      <c r="L136" s="5" t="s">
        <v>309</v>
      </c>
      <c r="M136" s="5" t="s">
        <v>308</v>
      </c>
      <c r="N136" s="5"/>
    </row>
    <row r="137" spans="2:15" x14ac:dyDescent="0.25">
      <c r="B137" s="5">
        <v>173</v>
      </c>
      <c r="C137" s="34">
        <v>45369</v>
      </c>
      <c r="D137" s="5" t="s">
        <v>300</v>
      </c>
      <c r="E137" s="33">
        <v>234</v>
      </c>
      <c r="F137" s="36">
        <f>E137-G137</f>
        <v>0</v>
      </c>
      <c r="G137" s="33">
        <v>234</v>
      </c>
      <c r="H137" s="34">
        <v>45373</v>
      </c>
      <c r="I137" s="34"/>
      <c r="J137" s="34"/>
      <c r="K137" s="5" t="s">
        <v>889</v>
      </c>
    </row>
    <row r="138" spans="2:15" x14ac:dyDescent="0.25">
      <c r="B138" s="5">
        <v>124</v>
      </c>
      <c r="C138" s="34">
        <v>45352</v>
      </c>
      <c r="D138" s="5" t="s">
        <v>888</v>
      </c>
      <c r="E138" s="38">
        <f>O138*O2</f>
        <v>178.93200000000002</v>
      </c>
      <c r="F138" s="36">
        <f>E138-G138</f>
        <v>2.0000000000095497E-3</v>
      </c>
      <c r="G138" s="36">
        <v>178.93</v>
      </c>
      <c r="H138" s="34">
        <v>45363</v>
      </c>
      <c r="I138" s="34"/>
      <c r="J138" s="34"/>
      <c r="K138" s="5" t="s">
        <v>887</v>
      </c>
      <c r="L138" s="5" t="s">
        <v>309</v>
      </c>
      <c r="M138" s="5" t="s">
        <v>308</v>
      </c>
      <c r="N138" s="5" t="s">
        <v>391</v>
      </c>
      <c r="O138" s="47">
        <v>192.4</v>
      </c>
    </row>
    <row r="139" spans="2:15" x14ac:dyDescent="0.25">
      <c r="B139" s="5">
        <v>185</v>
      </c>
      <c r="C139" s="34">
        <v>45373</v>
      </c>
      <c r="D139" s="5" t="s">
        <v>331</v>
      </c>
      <c r="E139" s="33">
        <v>178.89</v>
      </c>
      <c r="F139" s="36">
        <f>E139-G139</f>
        <v>0</v>
      </c>
      <c r="G139" s="33">
        <v>178.89</v>
      </c>
      <c r="H139" s="34">
        <v>45377</v>
      </c>
      <c r="I139" s="34"/>
      <c r="J139" s="34"/>
      <c r="K139" s="5" t="s">
        <v>525</v>
      </c>
      <c r="L139" s="5" t="s">
        <v>309</v>
      </c>
      <c r="M139" s="5" t="s">
        <v>308</v>
      </c>
    </row>
    <row r="140" spans="2:15" x14ac:dyDescent="0.25">
      <c r="B140" s="5">
        <v>183</v>
      </c>
      <c r="C140" s="34">
        <v>45372</v>
      </c>
      <c r="D140" s="5" t="s">
        <v>307</v>
      </c>
      <c r="E140" s="36">
        <v>227.54</v>
      </c>
      <c r="F140" s="36">
        <f>E140-G140</f>
        <v>0</v>
      </c>
      <c r="G140" s="36">
        <v>227.54</v>
      </c>
      <c r="H140" s="34">
        <v>45378</v>
      </c>
      <c r="I140" s="34"/>
      <c r="J140" s="34"/>
      <c r="K140" s="5" t="s">
        <v>855</v>
      </c>
      <c r="L140" s="5" t="s">
        <v>309</v>
      </c>
      <c r="M140" s="5" t="s">
        <v>308</v>
      </c>
      <c r="N140" s="5"/>
    </row>
    <row r="141" spans="2:15" x14ac:dyDescent="0.25">
      <c r="B141" s="5">
        <v>146</v>
      </c>
      <c r="C141" s="34">
        <v>45358</v>
      </c>
      <c r="D141" s="5" t="s">
        <v>446</v>
      </c>
      <c r="E141" s="36">
        <v>4630.24</v>
      </c>
      <c r="F141" s="36">
        <f>E141-G141</f>
        <v>0</v>
      </c>
      <c r="G141" s="36">
        <v>4630.24</v>
      </c>
      <c r="H141" s="34">
        <v>45373</v>
      </c>
      <c r="I141" s="34"/>
      <c r="J141" s="34"/>
      <c r="K141" s="5" t="s">
        <v>887</v>
      </c>
      <c r="L141" s="5" t="s">
        <v>298</v>
      </c>
      <c r="N141" s="45"/>
    </row>
    <row r="142" spans="2:15" x14ac:dyDescent="0.25">
      <c r="B142" s="5">
        <v>135</v>
      </c>
      <c r="C142" s="34">
        <v>45355</v>
      </c>
      <c r="D142" s="5" t="s">
        <v>886</v>
      </c>
      <c r="E142" s="36">
        <v>1801.89</v>
      </c>
      <c r="F142" s="36">
        <f>E142-G142</f>
        <v>0</v>
      </c>
      <c r="G142" s="36">
        <v>1801.89</v>
      </c>
      <c r="H142" s="34">
        <v>45371</v>
      </c>
      <c r="I142" s="34"/>
      <c r="J142" s="34"/>
      <c r="K142" s="5" t="s">
        <v>885</v>
      </c>
      <c r="L142" s="5" t="s">
        <v>309</v>
      </c>
      <c r="M142" s="5" t="s">
        <v>308</v>
      </c>
      <c r="N142" s="5"/>
    </row>
    <row r="143" spans="2:15" x14ac:dyDescent="0.25">
      <c r="B143" s="5">
        <v>170</v>
      </c>
      <c r="C143" s="34">
        <v>45369</v>
      </c>
      <c r="D143" s="5" t="s">
        <v>300</v>
      </c>
      <c r="E143" s="36">
        <v>60</v>
      </c>
      <c r="F143" s="36">
        <f>E143-G143</f>
        <v>0</v>
      </c>
      <c r="G143" s="36">
        <v>60</v>
      </c>
      <c r="H143" s="34">
        <v>45373</v>
      </c>
      <c r="I143" s="34"/>
      <c r="J143" s="34"/>
      <c r="K143" s="5" t="s">
        <v>598</v>
      </c>
      <c r="L143" s="5" t="s">
        <v>298</v>
      </c>
      <c r="N143" s="45"/>
    </row>
    <row r="144" spans="2:15" x14ac:dyDescent="0.25">
      <c r="B144" s="5">
        <v>196</v>
      </c>
      <c r="C144" s="34">
        <v>45377</v>
      </c>
      <c r="D144" s="5" t="s">
        <v>185</v>
      </c>
      <c r="E144" s="33">
        <v>476.98</v>
      </c>
      <c r="F144" s="36">
        <f>E144-G144</f>
        <v>0</v>
      </c>
      <c r="G144" s="33">
        <v>476.98</v>
      </c>
      <c r="H144" s="34">
        <v>45380</v>
      </c>
      <c r="I144" s="34"/>
      <c r="J144" s="34"/>
      <c r="K144" s="5" t="s">
        <v>849</v>
      </c>
      <c r="L144" s="5" t="s">
        <v>298</v>
      </c>
    </row>
    <row r="145" spans="2:14" x14ac:dyDescent="0.25">
      <c r="B145" s="5">
        <v>191</v>
      </c>
      <c r="C145" s="34">
        <v>45376</v>
      </c>
      <c r="D145" s="5" t="s">
        <v>307</v>
      </c>
      <c r="E145" s="33">
        <v>61.5</v>
      </c>
      <c r="F145" s="36">
        <f>E145-G145</f>
        <v>0</v>
      </c>
      <c r="G145" s="33">
        <v>61.5</v>
      </c>
      <c r="H145" s="34">
        <v>45379</v>
      </c>
      <c r="I145" s="34"/>
      <c r="J145" s="34"/>
      <c r="K145" s="5" t="s">
        <v>876</v>
      </c>
      <c r="L145" s="5" t="s">
        <v>309</v>
      </c>
      <c r="M145" s="5" t="s">
        <v>308</v>
      </c>
    </row>
    <row r="146" spans="2:14" x14ac:dyDescent="0.25">
      <c r="B146" s="5">
        <v>96</v>
      </c>
      <c r="C146" s="34">
        <v>45341</v>
      </c>
      <c r="D146" s="5" t="s">
        <v>405</v>
      </c>
      <c r="E146" s="36">
        <v>5360</v>
      </c>
      <c r="F146" s="36">
        <f>E146-G146</f>
        <v>0</v>
      </c>
      <c r="G146" s="36">
        <v>5360</v>
      </c>
      <c r="H146" s="34">
        <v>45366</v>
      </c>
      <c r="I146" s="34"/>
      <c r="J146" s="34"/>
      <c r="K146" s="5" t="s">
        <v>884</v>
      </c>
      <c r="L146" s="5" t="s">
        <v>309</v>
      </c>
      <c r="M146" s="5" t="s">
        <v>308</v>
      </c>
      <c r="N146" s="45"/>
    </row>
    <row r="147" spans="2:14" x14ac:dyDescent="0.25">
      <c r="B147" s="5">
        <v>149</v>
      </c>
      <c r="C147" s="34">
        <v>45359</v>
      </c>
      <c r="D147" s="5" t="s">
        <v>384</v>
      </c>
      <c r="E147" s="36">
        <v>401</v>
      </c>
      <c r="F147" s="36">
        <f>E147-G147</f>
        <v>0</v>
      </c>
      <c r="G147" s="36">
        <v>401</v>
      </c>
      <c r="H147" s="34">
        <v>45370</v>
      </c>
      <c r="I147" s="34"/>
      <c r="J147" s="34"/>
      <c r="K147" s="5" t="s">
        <v>849</v>
      </c>
      <c r="L147" s="5" t="s">
        <v>309</v>
      </c>
      <c r="M147" s="5" t="s">
        <v>308</v>
      </c>
      <c r="N147" s="45"/>
    </row>
    <row r="148" spans="2:14" x14ac:dyDescent="0.25">
      <c r="B148" s="5">
        <v>204</v>
      </c>
      <c r="C148" s="34">
        <v>45183</v>
      </c>
      <c r="D148" s="5" t="s">
        <v>381</v>
      </c>
      <c r="E148" s="36">
        <v>19600</v>
      </c>
      <c r="F148" s="36">
        <f>E148-G148</f>
        <v>0</v>
      </c>
      <c r="G148" s="36">
        <v>19600</v>
      </c>
      <c r="H148" s="34">
        <v>45329</v>
      </c>
      <c r="I148" s="34"/>
      <c r="J148" s="34"/>
      <c r="K148" s="5" t="s">
        <v>598</v>
      </c>
      <c r="L148" s="5" t="s">
        <v>309</v>
      </c>
      <c r="M148" s="5" t="s">
        <v>308</v>
      </c>
      <c r="N148" s="45"/>
    </row>
    <row r="149" spans="2:14" x14ac:dyDescent="0.25">
      <c r="B149" s="5">
        <v>152</v>
      </c>
      <c r="C149" s="34">
        <v>45362</v>
      </c>
      <c r="D149" s="5" t="s">
        <v>328</v>
      </c>
      <c r="E149" s="36">
        <v>32</v>
      </c>
      <c r="F149" s="36">
        <f>E149-G149</f>
        <v>0</v>
      </c>
      <c r="G149" s="36">
        <v>32</v>
      </c>
      <c r="H149" s="34" t="s">
        <v>883</v>
      </c>
      <c r="I149" s="34"/>
      <c r="J149" s="34"/>
      <c r="K149" s="5" t="s">
        <v>598</v>
      </c>
      <c r="L149" s="5" t="s">
        <v>298</v>
      </c>
      <c r="N149" s="5"/>
    </row>
    <row r="150" spans="2:14" x14ac:dyDescent="0.25">
      <c r="B150" s="5">
        <v>125</v>
      </c>
      <c r="C150" s="34">
        <v>45352</v>
      </c>
      <c r="D150" s="5" t="s">
        <v>470</v>
      </c>
      <c r="E150" s="36">
        <v>2400</v>
      </c>
      <c r="F150" s="36">
        <f>E150-G150</f>
        <v>0</v>
      </c>
      <c r="G150" s="36">
        <v>2400</v>
      </c>
      <c r="H150" s="34">
        <v>45382</v>
      </c>
      <c r="I150" s="34"/>
      <c r="J150" s="34"/>
      <c r="K150" s="5" t="s">
        <v>882</v>
      </c>
      <c r="L150" s="5" t="s">
        <v>309</v>
      </c>
      <c r="M150" s="5" t="s">
        <v>822</v>
      </c>
      <c r="N150" s="45"/>
    </row>
    <row r="151" spans="2:14" x14ac:dyDescent="0.25">
      <c r="B151" s="5">
        <v>127</v>
      </c>
      <c r="C151" s="34">
        <v>45352</v>
      </c>
      <c r="D151" s="5" t="s">
        <v>402</v>
      </c>
      <c r="E151" s="33">
        <v>404.4</v>
      </c>
      <c r="F151" s="36">
        <f>E151-G151</f>
        <v>0</v>
      </c>
      <c r="G151" s="36">
        <v>404.4</v>
      </c>
      <c r="H151" s="34">
        <v>45382</v>
      </c>
      <c r="I151" s="34"/>
      <c r="J151" s="34"/>
      <c r="K151" s="5" t="s">
        <v>686</v>
      </c>
      <c r="L151" s="5" t="s">
        <v>309</v>
      </c>
      <c r="M151" s="5" t="s">
        <v>308</v>
      </c>
    </row>
    <row r="152" spans="2:14" x14ac:dyDescent="0.25">
      <c r="B152" s="5">
        <v>142</v>
      </c>
      <c r="C152" s="34">
        <v>45356</v>
      </c>
      <c r="D152" s="5" t="s">
        <v>371</v>
      </c>
      <c r="E152" s="36">
        <v>1200</v>
      </c>
      <c r="F152" s="36">
        <f>E152-G152</f>
        <v>0</v>
      </c>
      <c r="G152" s="36">
        <v>1200</v>
      </c>
      <c r="H152" s="34">
        <v>45358</v>
      </c>
      <c r="I152" s="34"/>
      <c r="J152" s="34"/>
      <c r="K152" s="5" t="s">
        <v>874</v>
      </c>
      <c r="L152" s="5" t="s">
        <v>298</v>
      </c>
      <c r="N152" s="45"/>
    </row>
    <row r="153" spans="2:14" x14ac:dyDescent="0.25">
      <c r="B153" s="5">
        <v>171</v>
      </c>
      <c r="C153" s="34">
        <v>45369</v>
      </c>
      <c r="D153" s="5" t="s">
        <v>881</v>
      </c>
      <c r="E153" s="36">
        <v>956.6</v>
      </c>
      <c r="F153" s="36">
        <f>E153-G153</f>
        <v>0</v>
      </c>
      <c r="G153" s="36">
        <v>956.6</v>
      </c>
      <c r="H153" s="34">
        <v>45377</v>
      </c>
      <c r="I153" s="34"/>
      <c r="J153" s="34"/>
      <c r="K153" s="5" t="s">
        <v>880</v>
      </c>
      <c r="L153" s="5" t="s">
        <v>298</v>
      </c>
      <c r="N153" s="45"/>
    </row>
    <row r="154" spans="2:14" x14ac:dyDescent="0.25">
      <c r="B154" s="5">
        <v>248</v>
      </c>
      <c r="C154" s="34">
        <v>45210</v>
      </c>
      <c r="D154" s="5" t="s">
        <v>879</v>
      </c>
      <c r="E154" s="36">
        <v>14525</v>
      </c>
      <c r="F154" s="36">
        <f>E154-G154</f>
        <v>0</v>
      </c>
      <c r="G154" s="36">
        <v>14525</v>
      </c>
      <c r="H154" s="34">
        <v>45350</v>
      </c>
      <c r="I154" s="34"/>
      <c r="J154" s="34"/>
      <c r="K154" s="5" t="s">
        <v>686</v>
      </c>
      <c r="L154" s="5" t="s">
        <v>309</v>
      </c>
      <c r="M154" s="5" t="s">
        <v>308</v>
      </c>
      <c r="N154" s="45"/>
    </row>
    <row r="155" spans="2:14" x14ac:dyDescent="0.25">
      <c r="B155" s="5">
        <v>197</v>
      </c>
      <c r="C155" s="34">
        <v>45377</v>
      </c>
      <c r="D155" s="5" t="s">
        <v>307</v>
      </c>
      <c r="E155" s="36">
        <v>28.5</v>
      </c>
      <c r="F155" s="36">
        <f>E155-G155</f>
        <v>0</v>
      </c>
      <c r="G155" s="36">
        <v>28.5</v>
      </c>
      <c r="H155" s="34">
        <v>45385</v>
      </c>
      <c r="I155" s="34"/>
      <c r="J155" s="34"/>
      <c r="K155" s="5" t="s">
        <v>851</v>
      </c>
      <c r="L155" s="5" t="s">
        <v>298</v>
      </c>
    </row>
    <row r="156" spans="2:14" x14ac:dyDescent="0.25">
      <c r="B156" s="5">
        <v>209</v>
      </c>
      <c r="C156" s="34">
        <v>45385</v>
      </c>
      <c r="D156" s="5" t="s">
        <v>861</v>
      </c>
      <c r="E156" s="36">
        <v>95</v>
      </c>
      <c r="F156" s="36">
        <f>E156-G156</f>
        <v>0</v>
      </c>
      <c r="G156" s="36">
        <v>95</v>
      </c>
      <c r="H156" s="34">
        <v>45387</v>
      </c>
      <c r="I156" s="34"/>
      <c r="J156" s="34"/>
      <c r="K156" s="5" t="s">
        <v>878</v>
      </c>
      <c r="L156" s="5" t="s">
        <v>298</v>
      </c>
    </row>
    <row r="157" spans="2:14" x14ac:dyDescent="0.25">
      <c r="B157" s="5">
        <v>203</v>
      </c>
      <c r="C157" s="34">
        <v>45379</v>
      </c>
      <c r="D157" s="5" t="s">
        <v>307</v>
      </c>
      <c r="E157" s="36">
        <v>226.99</v>
      </c>
      <c r="F157" s="36">
        <f>E157-G157</f>
        <v>0</v>
      </c>
      <c r="G157" s="36">
        <v>226.99</v>
      </c>
      <c r="H157" s="34">
        <v>45385</v>
      </c>
      <c r="I157" s="34"/>
      <c r="J157" s="34"/>
      <c r="K157" s="5" t="s">
        <v>742</v>
      </c>
      <c r="L157" s="5" t="s">
        <v>303</v>
      </c>
    </row>
    <row r="158" spans="2:14" x14ac:dyDescent="0.25">
      <c r="B158" s="5">
        <v>210</v>
      </c>
      <c r="C158" s="34">
        <v>45385</v>
      </c>
      <c r="D158" s="5" t="s">
        <v>375</v>
      </c>
      <c r="E158" s="33">
        <v>115.5</v>
      </c>
      <c r="F158" s="36">
        <f>E158-G158</f>
        <v>0</v>
      </c>
      <c r="G158" s="33">
        <v>115.5</v>
      </c>
      <c r="H158" s="34">
        <v>45387</v>
      </c>
      <c r="I158" s="34"/>
      <c r="J158" s="34"/>
      <c r="K158" s="5" t="s">
        <v>878</v>
      </c>
      <c r="L158" s="5" t="s">
        <v>298</v>
      </c>
    </row>
    <row r="159" spans="2:14" x14ac:dyDescent="0.25">
      <c r="B159" s="5">
        <v>201</v>
      </c>
      <c r="C159" s="34">
        <v>45378</v>
      </c>
      <c r="D159" s="5" t="s">
        <v>877</v>
      </c>
      <c r="E159" s="36">
        <v>376.63</v>
      </c>
      <c r="F159" s="36">
        <f>E159-G159</f>
        <v>0</v>
      </c>
      <c r="G159" s="36">
        <v>376.63</v>
      </c>
      <c r="H159" s="34">
        <v>45384</v>
      </c>
      <c r="I159" s="34"/>
      <c r="J159" s="34"/>
      <c r="K159" s="5" t="s">
        <v>876</v>
      </c>
      <c r="L159" s="5" t="s">
        <v>309</v>
      </c>
      <c r="M159" s="5" t="s">
        <v>308</v>
      </c>
      <c r="N159" s="45"/>
    </row>
    <row r="160" spans="2:14" x14ac:dyDescent="0.25">
      <c r="B160" s="5">
        <v>198</v>
      </c>
      <c r="C160" s="34">
        <v>45377</v>
      </c>
      <c r="D160" s="5" t="s">
        <v>328</v>
      </c>
      <c r="E160" s="36">
        <v>67.38</v>
      </c>
      <c r="F160" s="36">
        <f>E160-G160</f>
        <v>0</v>
      </c>
      <c r="G160" s="36">
        <v>67.38</v>
      </c>
      <c r="H160" s="34">
        <v>45385</v>
      </c>
      <c r="I160" s="34"/>
      <c r="J160" s="34"/>
      <c r="K160" s="5" t="s">
        <v>841</v>
      </c>
      <c r="L160" s="5" t="s">
        <v>298</v>
      </c>
    </row>
    <row r="161" spans="2:14" x14ac:dyDescent="0.25">
      <c r="B161" s="5">
        <v>169</v>
      </c>
      <c r="C161" s="34">
        <v>45369</v>
      </c>
      <c r="D161" s="5" t="s">
        <v>540</v>
      </c>
      <c r="E161" s="36">
        <v>266.72000000000003</v>
      </c>
      <c r="F161" s="36">
        <f>E161-G161</f>
        <v>0</v>
      </c>
      <c r="G161" s="36">
        <v>266.72000000000003</v>
      </c>
      <c r="H161" s="34">
        <v>45390</v>
      </c>
      <c r="I161" s="34"/>
      <c r="J161" s="34"/>
      <c r="K161" s="5" t="s">
        <v>875</v>
      </c>
      <c r="L161" s="5" t="s">
        <v>309</v>
      </c>
      <c r="M161" s="5" t="s">
        <v>308</v>
      </c>
      <c r="N161" s="45"/>
    </row>
    <row r="162" spans="2:14" x14ac:dyDescent="0.25">
      <c r="B162" s="5">
        <v>219</v>
      </c>
      <c r="C162" s="34">
        <v>45387</v>
      </c>
      <c r="D162" s="5" t="s">
        <v>307</v>
      </c>
      <c r="E162" s="36">
        <v>238.33</v>
      </c>
      <c r="F162" s="36">
        <f>E162-G162</f>
        <v>0</v>
      </c>
      <c r="G162" s="36">
        <v>238.33</v>
      </c>
      <c r="H162" s="34">
        <v>45392</v>
      </c>
      <c r="I162" s="34"/>
      <c r="J162" s="34"/>
      <c r="K162" s="5" t="s">
        <v>525</v>
      </c>
      <c r="L162" s="5" t="s">
        <v>298</v>
      </c>
    </row>
    <row r="163" spans="2:14" x14ac:dyDescent="0.25">
      <c r="B163" s="5">
        <v>182</v>
      </c>
      <c r="C163" s="34">
        <v>45372</v>
      </c>
      <c r="D163" s="5" t="s">
        <v>173</v>
      </c>
      <c r="E163" s="36">
        <v>74</v>
      </c>
      <c r="F163" s="36">
        <f>E163-G163</f>
        <v>0</v>
      </c>
      <c r="G163" s="36">
        <v>74</v>
      </c>
      <c r="H163" s="34">
        <v>45377</v>
      </c>
      <c r="I163" s="34"/>
      <c r="J163" s="34"/>
      <c r="K163" s="5" t="s">
        <v>874</v>
      </c>
      <c r="L163" s="5" t="s">
        <v>298</v>
      </c>
      <c r="N163" s="5"/>
    </row>
    <row r="164" spans="2:14" x14ac:dyDescent="0.25">
      <c r="B164" s="5">
        <v>202</v>
      </c>
      <c r="C164" s="34">
        <v>45378</v>
      </c>
      <c r="D164" s="5" t="s">
        <v>307</v>
      </c>
      <c r="E164" s="36">
        <v>134.69999999999999</v>
      </c>
      <c r="F164" s="36">
        <f>E164-G164</f>
        <v>0</v>
      </c>
      <c r="G164" s="36">
        <v>134.69999999999999</v>
      </c>
      <c r="H164" s="34">
        <v>45380</v>
      </c>
      <c r="I164" s="34"/>
      <c r="J164" s="34"/>
      <c r="K164" s="5" t="s">
        <v>686</v>
      </c>
      <c r="L164" s="5" t="s">
        <v>303</v>
      </c>
      <c r="M164" s="5" t="s">
        <v>308</v>
      </c>
      <c r="N164" s="45"/>
    </row>
    <row r="165" spans="2:14" x14ac:dyDescent="0.25">
      <c r="B165" s="5">
        <v>186</v>
      </c>
      <c r="C165" s="34">
        <v>45373</v>
      </c>
      <c r="D165" s="5" t="s">
        <v>23</v>
      </c>
      <c r="E165" s="36">
        <v>223.1</v>
      </c>
      <c r="F165" s="36">
        <f>E165-G165</f>
        <v>0</v>
      </c>
      <c r="G165" s="36">
        <v>223.1</v>
      </c>
      <c r="H165" s="34">
        <v>45379</v>
      </c>
      <c r="I165" s="34"/>
      <c r="J165" s="34"/>
      <c r="K165" s="5" t="s">
        <v>686</v>
      </c>
      <c r="L165" s="5" t="s">
        <v>298</v>
      </c>
    </row>
    <row r="166" spans="2:14" x14ac:dyDescent="0.25">
      <c r="B166" s="5">
        <v>213</v>
      </c>
      <c r="C166" s="34">
        <v>45387</v>
      </c>
      <c r="D166" s="5" t="s">
        <v>300</v>
      </c>
      <c r="E166" s="33">
        <v>60</v>
      </c>
      <c r="F166" s="36">
        <f>E166-G166</f>
        <v>0</v>
      </c>
      <c r="G166" s="33">
        <v>60</v>
      </c>
      <c r="H166" s="34">
        <v>45394</v>
      </c>
      <c r="I166" s="34"/>
      <c r="J166" s="34"/>
      <c r="K166" s="5" t="s">
        <v>742</v>
      </c>
      <c r="L166" s="5" t="s">
        <v>309</v>
      </c>
      <c r="M166" s="5" t="s">
        <v>873</v>
      </c>
    </row>
    <row r="167" spans="2:14" x14ac:dyDescent="0.25">
      <c r="B167" s="5">
        <v>214</v>
      </c>
      <c r="C167" s="34">
        <v>45387</v>
      </c>
      <c r="D167" s="5" t="s">
        <v>300</v>
      </c>
      <c r="E167" s="33">
        <v>193.6</v>
      </c>
      <c r="F167" s="36">
        <f>E167-G167</f>
        <v>0</v>
      </c>
      <c r="G167" s="33">
        <v>193.6</v>
      </c>
      <c r="H167" s="34">
        <v>45394</v>
      </c>
      <c r="I167" s="34"/>
      <c r="J167" s="34"/>
      <c r="K167" s="5" t="s">
        <v>525</v>
      </c>
      <c r="L167" s="5" t="s">
        <v>309</v>
      </c>
      <c r="M167" s="5" t="s">
        <v>873</v>
      </c>
    </row>
    <row r="168" spans="2:14" x14ac:dyDescent="0.25">
      <c r="B168" s="5">
        <v>225</v>
      </c>
      <c r="C168" s="34">
        <v>45390</v>
      </c>
      <c r="D168" s="5" t="s">
        <v>777</v>
      </c>
      <c r="E168" s="33">
        <v>623.29999999999995</v>
      </c>
      <c r="F168" s="36">
        <f>E168-G168</f>
        <v>0</v>
      </c>
      <c r="G168" s="33">
        <v>623.29999999999995</v>
      </c>
      <c r="H168" s="34">
        <v>45394</v>
      </c>
      <c r="I168" s="34"/>
      <c r="J168" s="34"/>
      <c r="K168" s="5" t="s">
        <v>849</v>
      </c>
      <c r="L168" s="5" t="s">
        <v>298</v>
      </c>
    </row>
    <row r="169" spans="2:14" x14ac:dyDescent="0.25">
      <c r="B169" s="5">
        <v>223</v>
      </c>
      <c r="C169" s="34">
        <v>45390</v>
      </c>
      <c r="D169" s="5" t="s">
        <v>307</v>
      </c>
      <c r="E169" s="36">
        <v>20.22</v>
      </c>
      <c r="F169" s="36">
        <f>E169-G169</f>
        <v>0</v>
      </c>
      <c r="G169" s="36">
        <v>20.22</v>
      </c>
      <c r="H169" s="34">
        <v>45394</v>
      </c>
      <c r="I169" s="34"/>
      <c r="J169" s="34"/>
      <c r="K169" s="5" t="s">
        <v>849</v>
      </c>
      <c r="L169" s="5" t="s">
        <v>309</v>
      </c>
      <c r="M169" s="5" t="s">
        <v>308</v>
      </c>
    </row>
    <row r="170" spans="2:14" x14ac:dyDescent="0.25">
      <c r="B170" s="5">
        <v>176</v>
      </c>
      <c r="C170" s="34">
        <v>45370</v>
      </c>
      <c r="D170" s="5" t="s">
        <v>508</v>
      </c>
      <c r="E170" s="36">
        <v>105</v>
      </c>
      <c r="F170" s="36">
        <f>E170-G170</f>
        <v>0</v>
      </c>
      <c r="G170" s="36">
        <v>105</v>
      </c>
      <c r="H170" s="34">
        <v>45378</v>
      </c>
      <c r="I170" s="34"/>
      <c r="J170" s="34"/>
      <c r="K170" s="5" t="s">
        <v>686</v>
      </c>
      <c r="L170" s="5" t="s">
        <v>309</v>
      </c>
      <c r="M170" s="5" t="s">
        <v>308</v>
      </c>
      <c r="N170" s="45"/>
    </row>
    <row r="171" spans="2:14" x14ac:dyDescent="0.25">
      <c r="B171" s="5">
        <v>227</v>
      </c>
      <c r="C171" s="34">
        <v>45391</v>
      </c>
      <c r="D171" s="5" t="s">
        <v>307</v>
      </c>
      <c r="E171" s="33">
        <v>86.39</v>
      </c>
      <c r="F171" s="36">
        <f>E171-G171</f>
        <v>0</v>
      </c>
      <c r="G171" s="33">
        <v>86.39</v>
      </c>
      <c r="H171" s="34">
        <v>45393</v>
      </c>
      <c r="I171" s="34"/>
      <c r="J171" s="34"/>
      <c r="K171" s="5" t="s">
        <v>849</v>
      </c>
      <c r="L171" s="5" t="s">
        <v>298</v>
      </c>
    </row>
    <row r="172" spans="2:14" x14ac:dyDescent="0.25">
      <c r="B172" s="5">
        <v>87</v>
      </c>
      <c r="C172" s="34">
        <v>45331</v>
      </c>
      <c r="D172" s="5" t="s">
        <v>872</v>
      </c>
      <c r="E172" s="36">
        <v>2070</v>
      </c>
      <c r="F172" s="36">
        <f>E172-G172</f>
        <v>0</v>
      </c>
      <c r="G172" s="36">
        <v>2070</v>
      </c>
      <c r="H172" s="34">
        <v>45366</v>
      </c>
      <c r="I172" s="34"/>
      <c r="J172" s="34"/>
      <c r="K172" s="5" t="s">
        <v>686</v>
      </c>
      <c r="L172" s="5" t="s">
        <v>298</v>
      </c>
      <c r="N172" s="45"/>
    </row>
    <row r="173" spans="2:14" x14ac:dyDescent="0.25">
      <c r="B173" s="5">
        <v>230</v>
      </c>
      <c r="C173" s="34">
        <v>45392</v>
      </c>
      <c r="D173" s="5" t="s">
        <v>307</v>
      </c>
      <c r="E173" s="36">
        <v>2.5499999999999998</v>
      </c>
      <c r="F173" s="36">
        <f>E173-G173</f>
        <v>0</v>
      </c>
      <c r="G173" s="36">
        <v>2.5499999999999998</v>
      </c>
      <c r="H173" s="34">
        <v>11</v>
      </c>
      <c r="I173" s="34"/>
      <c r="J173" s="34"/>
      <c r="K173" s="5" t="s">
        <v>686</v>
      </c>
      <c r="L173" s="5" t="s">
        <v>309</v>
      </c>
      <c r="M173" s="5" t="s">
        <v>308</v>
      </c>
      <c r="N173" s="5"/>
    </row>
    <row r="174" spans="2:14" x14ac:dyDescent="0.25">
      <c r="B174" s="5">
        <v>167</v>
      </c>
      <c r="C174" s="34">
        <v>45366</v>
      </c>
      <c r="D174" s="5" t="s">
        <v>328</v>
      </c>
      <c r="E174" s="36">
        <v>2605.67</v>
      </c>
      <c r="F174" s="36">
        <f>E174-G174</f>
        <v>0</v>
      </c>
      <c r="G174" s="36">
        <v>2605.67</v>
      </c>
      <c r="H174" s="34">
        <v>45377</v>
      </c>
      <c r="I174" s="34"/>
      <c r="J174" s="34"/>
      <c r="K174" s="5" t="s">
        <v>855</v>
      </c>
      <c r="L174" s="5" t="s">
        <v>303</v>
      </c>
      <c r="M174" s="5" t="s">
        <v>308</v>
      </c>
      <c r="N174" s="45"/>
    </row>
    <row r="175" spans="2:14" x14ac:dyDescent="0.25">
      <c r="B175" s="5">
        <v>181</v>
      </c>
      <c r="C175" s="34">
        <v>45372</v>
      </c>
      <c r="D175" s="5" t="s">
        <v>321</v>
      </c>
      <c r="E175" s="36">
        <v>178.98</v>
      </c>
      <c r="F175" s="36">
        <f>E175-G175</f>
        <v>0</v>
      </c>
      <c r="G175" s="36">
        <v>178.98</v>
      </c>
      <c r="H175" s="34">
        <v>45377</v>
      </c>
      <c r="I175" s="34"/>
      <c r="J175" s="34"/>
      <c r="K175" s="5" t="s">
        <v>855</v>
      </c>
      <c r="L175" s="5" t="s">
        <v>309</v>
      </c>
      <c r="M175" s="5" t="s">
        <v>308</v>
      </c>
      <c r="N175" s="45"/>
    </row>
    <row r="176" spans="2:14" x14ac:dyDescent="0.25">
      <c r="B176" s="5">
        <v>189</v>
      </c>
      <c r="C176" s="34">
        <v>45376</v>
      </c>
      <c r="D176" s="5" t="s">
        <v>314</v>
      </c>
      <c r="E176" s="36">
        <v>881.7</v>
      </c>
      <c r="F176" s="36">
        <f>E176-G176</f>
        <v>0</v>
      </c>
      <c r="G176" s="36">
        <v>881.7</v>
      </c>
      <c r="H176" s="34">
        <v>45390</v>
      </c>
      <c r="I176" s="34"/>
      <c r="J176" s="34"/>
      <c r="K176" s="5" t="s">
        <v>686</v>
      </c>
      <c r="L176" s="5" t="s">
        <v>298</v>
      </c>
      <c r="N176" s="45"/>
    </row>
    <row r="177" spans="2:14" x14ac:dyDescent="0.25">
      <c r="B177" s="5">
        <v>162</v>
      </c>
      <c r="C177" s="34">
        <v>45365</v>
      </c>
      <c r="D177" s="5" t="s">
        <v>871</v>
      </c>
      <c r="E177" s="33">
        <v>6.25</v>
      </c>
      <c r="F177" s="36">
        <f>E177-G177</f>
        <v>0</v>
      </c>
      <c r="G177" s="33">
        <v>6.25</v>
      </c>
      <c r="H177" s="34">
        <v>45408</v>
      </c>
      <c r="I177" s="34"/>
      <c r="J177" s="34"/>
      <c r="K177" s="5" t="s">
        <v>686</v>
      </c>
      <c r="L177" s="5" t="s">
        <v>298</v>
      </c>
      <c r="N177" s="5"/>
    </row>
    <row r="178" spans="2:14" x14ac:dyDescent="0.25">
      <c r="B178" s="5">
        <v>114</v>
      </c>
      <c r="C178" s="34">
        <v>45345</v>
      </c>
      <c r="D178" s="5" t="s">
        <v>793</v>
      </c>
      <c r="E178" s="36">
        <v>8444</v>
      </c>
      <c r="F178" s="36">
        <f>E178-G178</f>
        <v>0</v>
      </c>
      <c r="G178" s="36">
        <v>8444</v>
      </c>
      <c r="H178" s="34">
        <v>45366</v>
      </c>
      <c r="I178" s="34"/>
      <c r="J178" s="34"/>
      <c r="K178" s="5" t="s">
        <v>870</v>
      </c>
      <c r="L178" s="5" t="s">
        <v>303</v>
      </c>
      <c r="N178" s="45"/>
    </row>
    <row r="179" spans="2:14" x14ac:dyDescent="0.25">
      <c r="B179" s="5">
        <v>187</v>
      </c>
      <c r="C179" s="34">
        <v>45373</v>
      </c>
      <c r="D179" s="5" t="s">
        <v>453</v>
      </c>
      <c r="E179" s="36">
        <v>166</v>
      </c>
      <c r="F179" s="36">
        <f>E179-G179</f>
        <v>0</v>
      </c>
      <c r="G179" s="36">
        <v>166</v>
      </c>
      <c r="H179" s="34">
        <v>45392</v>
      </c>
      <c r="I179" s="34"/>
      <c r="J179" s="34"/>
      <c r="K179" s="5" t="s">
        <v>686</v>
      </c>
      <c r="L179" s="5" t="s">
        <v>309</v>
      </c>
      <c r="M179" s="5" t="s">
        <v>308</v>
      </c>
      <c r="N179" s="45"/>
    </row>
    <row r="180" spans="2:14" x14ac:dyDescent="0.25">
      <c r="B180" s="5">
        <v>241</v>
      </c>
      <c r="C180" s="34">
        <v>45397</v>
      </c>
      <c r="D180" s="5" t="s">
        <v>368</v>
      </c>
      <c r="E180" s="33">
        <v>2003.18</v>
      </c>
      <c r="F180" s="36">
        <f>E180-G180</f>
        <v>0</v>
      </c>
      <c r="G180" s="33">
        <v>2003.18</v>
      </c>
      <c r="H180" s="34">
        <v>45399</v>
      </c>
      <c r="I180" s="34"/>
      <c r="J180" s="34"/>
      <c r="K180" s="5" t="s">
        <v>843</v>
      </c>
      <c r="L180" s="5" t="s">
        <v>298</v>
      </c>
    </row>
    <row r="181" spans="2:14" x14ac:dyDescent="0.25">
      <c r="B181" s="5">
        <v>212</v>
      </c>
      <c r="C181" s="34">
        <v>45387</v>
      </c>
      <c r="D181" s="5" t="s">
        <v>405</v>
      </c>
      <c r="E181" s="36">
        <v>2550</v>
      </c>
      <c r="F181" s="36">
        <f>E181-G181</f>
        <v>0</v>
      </c>
      <c r="G181" s="36">
        <v>2550</v>
      </c>
      <c r="H181" s="34">
        <v>45398</v>
      </c>
      <c r="I181" s="34"/>
      <c r="J181" s="34"/>
      <c r="K181" s="5" t="s">
        <v>866</v>
      </c>
      <c r="L181" s="5" t="s">
        <v>309</v>
      </c>
      <c r="M181" s="5" t="s">
        <v>308</v>
      </c>
      <c r="N181" s="5"/>
    </row>
    <row r="182" spans="2:14" x14ac:dyDescent="0.25">
      <c r="B182" s="5">
        <v>243</v>
      </c>
      <c r="C182" s="34">
        <v>45397</v>
      </c>
      <c r="D182" s="5" t="s">
        <v>307</v>
      </c>
      <c r="E182" s="33">
        <v>38.04</v>
      </c>
      <c r="F182" s="36">
        <f>E182-G182</f>
        <v>0</v>
      </c>
      <c r="G182" s="33">
        <v>38.04</v>
      </c>
      <c r="H182" s="34">
        <v>45399</v>
      </c>
      <c r="I182" s="34"/>
      <c r="J182" s="34"/>
      <c r="K182" s="5" t="s">
        <v>742</v>
      </c>
      <c r="L182" s="5" t="s">
        <v>298</v>
      </c>
    </row>
    <row r="183" spans="2:14" x14ac:dyDescent="0.25">
      <c r="B183" s="5">
        <v>239</v>
      </c>
      <c r="C183" s="34">
        <v>45397</v>
      </c>
      <c r="D183" s="5" t="s">
        <v>307</v>
      </c>
      <c r="E183" s="36">
        <v>17.940000000000001</v>
      </c>
      <c r="F183" s="36">
        <f>E183-G183</f>
        <v>0</v>
      </c>
      <c r="G183" s="36">
        <v>17.940000000000001</v>
      </c>
      <c r="H183" s="34">
        <v>45399</v>
      </c>
      <c r="I183" s="34"/>
      <c r="J183" s="34"/>
      <c r="K183" s="5" t="s">
        <v>869</v>
      </c>
      <c r="L183" s="5" t="s">
        <v>309</v>
      </c>
      <c r="M183" s="5" t="s">
        <v>308</v>
      </c>
      <c r="N183" s="45"/>
    </row>
    <row r="184" spans="2:14" x14ac:dyDescent="0.25">
      <c r="B184" s="5">
        <v>193</v>
      </c>
      <c r="C184" s="34">
        <v>45376</v>
      </c>
      <c r="D184" s="5" t="s">
        <v>321</v>
      </c>
      <c r="E184" s="36">
        <v>46.54</v>
      </c>
      <c r="F184" s="36">
        <f>E184-G184</f>
        <v>0</v>
      </c>
      <c r="G184" s="36">
        <v>46.54</v>
      </c>
      <c r="H184" s="34">
        <v>45384</v>
      </c>
      <c r="I184" s="34"/>
      <c r="J184" s="34"/>
      <c r="K184" s="5" t="s">
        <v>525</v>
      </c>
      <c r="L184" s="5" t="s">
        <v>309</v>
      </c>
      <c r="M184" s="5" t="s">
        <v>308</v>
      </c>
      <c r="N184" s="45"/>
    </row>
    <row r="185" spans="2:14" x14ac:dyDescent="0.25">
      <c r="B185" s="5">
        <v>195</v>
      </c>
      <c r="C185" s="34">
        <v>45377</v>
      </c>
      <c r="D185" s="5" t="s">
        <v>23</v>
      </c>
      <c r="E185" s="36">
        <v>61.32</v>
      </c>
      <c r="F185" s="36">
        <f>E185-G185</f>
        <v>0</v>
      </c>
      <c r="G185" s="36">
        <v>61.32</v>
      </c>
      <c r="H185" s="34">
        <v>45385</v>
      </c>
      <c r="I185" s="34"/>
      <c r="J185" s="34"/>
      <c r="K185" s="5" t="s">
        <v>851</v>
      </c>
      <c r="L185" s="5" t="s">
        <v>298</v>
      </c>
      <c r="N185" s="5"/>
    </row>
    <row r="186" spans="2:14" x14ac:dyDescent="0.25">
      <c r="B186" s="5">
        <v>247</v>
      </c>
      <c r="C186" s="34">
        <v>45398</v>
      </c>
      <c r="D186" s="5" t="s">
        <v>307</v>
      </c>
      <c r="E186" s="33">
        <v>178.36</v>
      </c>
      <c r="F186" s="36">
        <f>E186-G186</f>
        <v>0</v>
      </c>
      <c r="G186" s="33">
        <v>178.36</v>
      </c>
      <c r="H186" s="34">
        <v>45401</v>
      </c>
      <c r="I186" s="34"/>
      <c r="J186" s="34"/>
      <c r="K186" s="5" t="s">
        <v>598</v>
      </c>
      <c r="L186" s="5" t="s">
        <v>298</v>
      </c>
    </row>
    <row r="187" spans="2:14" x14ac:dyDescent="0.25">
      <c r="B187" s="5">
        <v>200</v>
      </c>
      <c r="C187" s="34">
        <v>45378</v>
      </c>
      <c r="D187" s="5" t="s">
        <v>868</v>
      </c>
      <c r="E187" s="36">
        <v>4500</v>
      </c>
      <c r="F187" s="36">
        <f>E187-G187</f>
        <v>0</v>
      </c>
      <c r="G187" s="36">
        <v>4500</v>
      </c>
      <c r="H187" s="34">
        <v>45386</v>
      </c>
      <c r="I187" s="34"/>
      <c r="J187" s="34"/>
      <c r="K187" s="5" t="s">
        <v>788</v>
      </c>
      <c r="L187" s="5" t="s">
        <v>298</v>
      </c>
      <c r="N187" s="45"/>
    </row>
    <row r="188" spans="2:14" x14ac:dyDescent="0.25">
      <c r="B188" s="5">
        <v>157</v>
      </c>
      <c r="C188" s="34">
        <v>45363</v>
      </c>
      <c r="D188" s="5" t="s">
        <v>806</v>
      </c>
      <c r="E188" s="36">
        <v>705</v>
      </c>
      <c r="F188" s="36">
        <f>E188-G188</f>
        <v>0</v>
      </c>
      <c r="G188" s="36">
        <v>705</v>
      </c>
      <c r="H188" s="34">
        <v>45380</v>
      </c>
      <c r="I188" s="34"/>
      <c r="J188" s="34"/>
      <c r="K188" s="5" t="s">
        <v>867</v>
      </c>
      <c r="L188" s="5" t="s">
        <v>303</v>
      </c>
      <c r="N188" s="45"/>
    </row>
    <row r="189" spans="2:14" x14ac:dyDescent="0.25">
      <c r="B189" s="5">
        <v>234</v>
      </c>
      <c r="C189" s="34">
        <v>45394</v>
      </c>
      <c r="D189" s="5" t="s">
        <v>357</v>
      </c>
      <c r="E189" s="33">
        <v>321.5</v>
      </c>
      <c r="F189" s="36">
        <f>E189-G189</f>
        <v>0</v>
      </c>
      <c r="G189" s="33">
        <v>321.5</v>
      </c>
      <c r="H189" s="34">
        <v>45398</v>
      </c>
      <c r="I189" s="34"/>
      <c r="J189" s="34"/>
      <c r="K189" s="5" t="s">
        <v>686</v>
      </c>
      <c r="L189" s="5" t="s">
        <v>298</v>
      </c>
    </row>
    <row r="190" spans="2:14" x14ac:dyDescent="0.25">
      <c r="B190" s="5">
        <v>235</v>
      </c>
      <c r="C190" s="34">
        <v>45394</v>
      </c>
      <c r="D190" s="5" t="s">
        <v>653</v>
      </c>
      <c r="E190" s="33">
        <v>240</v>
      </c>
      <c r="F190" s="36">
        <f>E190-G190</f>
        <v>0</v>
      </c>
      <c r="G190" s="33">
        <v>240</v>
      </c>
      <c r="H190" s="34">
        <v>45401</v>
      </c>
      <c r="I190" s="34"/>
      <c r="J190" s="34"/>
      <c r="K190" s="5" t="s">
        <v>686</v>
      </c>
      <c r="L190" s="5" t="s">
        <v>309</v>
      </c>
    </row>
    <row r="191" spans="2:14" x14ac:dyDescent="0.25">
      <c r="B191" s="5">
        <v>249</v>
      </c>
      <c r="C191" s="34">
        <v>45398</v>
      </c>
      <c r="D191" s="5" t="s">
        <v>775</v>
      </c>
      <c r="E191" s="36">
        <v>25</v>
      </c>
      <c r="F191" s="36">
        <f>E191-G191</f>
        <v>0</v>
      </c>
      <c r="G191" s="36">
        <v>25</v>
      </c>
      <c r="H191" s="34">
        <v>45400</v>
      </c>
      <c r="I191" s="34"/>
      <c r="J191" s="34"/>
      <c r="K191" s="5" t="s">
        <v>855</v>
      </c>
      <c r="L191" s="5" t="s">
        <v>309</v>
      </c>
      <c r="N191" s="45"/>
    </row>
    <row r="192" spans="2:14" x14ac:dyDescent="0.25">
      <c r="B192" s="5">
        <v>257</v>
      </c>
      <c r="C192" s="34">
        <v>45401</v>
      </c>
      <c r="D192" s="5" t="s">
        <v>426</v>
      </c>
      <c r="E192" s="33">
        <v>1650</v>
      </c>
      <c r="F192" s="36">
        <f>E192-G192</f>
        <v>0</v>
      </c>
      <c r="G192" s="36">
        <v>1650</v>
      </c>
      <c r="H192" s="34">
        <v>45401</v>
      </c>
      <c r="I192" s="34"/>
      <c r="J192" s="34"/>
      <c r="K192" s="5" t="s">
        <v>812</v>
      </c>
      <c r="L192" s="5" t="s">
        <v>298</v>
      </c>
    </row>
    <row r="193" spans="2:15" x14ac:dyDescent="0.25">
      <c r="B193" s="5">
        <v>208</v>
      </c>
      <c r="C193" s="34">
        <v>45385</v>
      </c>
      <c r="D193" s="5" t="s">
        <v>453</v>
      </c>
      <c r="E193" s="36">
        <v>1974</v>
      </c>
      <c r="F193" s="36">
        <f>E193-G193</f>
        <v>0</v>
      </c>
      <c r="G193" s="36">
        <v>1974</v>
      </c>
      <c r="H193" s="34">
        <v>45392</v>
      </c>
      <c r="I193" s="34"/>
      <c r="J193" s="34"/>
      <c r="K193" s="5" t="s">
        <v>866</v>
      </c>
      <c r="L193" s="5" t="s">
        <v>303</v>
      </c>
      <c r="M193" s="5" t="s">
        <v>308</v>
      </c>
      <c r="N193" s="45"/>
    </row>
    <row r="194" spans="2:15" x14ac:dyDescent="0.25">
      <c r="B194" s="5">
        <v>256</v>
      </c>
      <c r="C194" s="34">
        <v>45401</v>
      </c>
      <c r="D194" s="5" t="s">
        <v>861</v>
      </c>
      <c r="E194" s="33">
        <v>106</v>
      </c>
      <c r="F194" s="36">
        <f>E194-G194</f>
        <v>0</v>
      </c>
      <c r="G194" s="36">
        <v>106</v>
      </c>
      <c r="H194" s="34">
        <v>45404</v>
      </c>
      <c r="I194" s="34"/>
      <c r="J194" s="34"/>
      <c r="K194" s="5" t="s">
        <v>849</v>
      </c>
      <c r="L194" s="5" t="s">
        <v>298</v>
      </c>
    </row>
    <row r="195" spans="2:15" x14ac:dyDescent="0.25">
      <c r="B195" s="5">
        <v>251</v>
      </c>
      <c r="C195" s="34">
        <v>45400</v>
      </c>
      <c r="D195" s="5" t="s">
        <v>307</v>
      </c>
      <c r="E195" s="36">
        <v>2.92</v>
      </c>
      <c r="F195" s="36">
        <f>E195-G195</f>
        <v>0</v>
      </c>
      <c r="G195" s="36">
        <v>2.92</v>
      </c>
      <c r="H195" s="34">
        <v>45401</v>
      </c>
      <c r="I195" s="34"/>
      <c r="J195" s="34"/>
      <c r="K195" s="5" t="s">
        <v>742</v>
      </c>
      <c r="L195" s="5" t="s">
        <v>298</v>
      </c>
    </row>
    <row r="196" spans="2:15" x14ac:dyDescent="0.25">
      <c r="B196" s="5">
        <v>258</v>
      </c>
      <c r="C196" s="34">
        <v>45401</v>
      </c>
      <c r="D196" s="5" t="s">
        <v>865</v>
      </c>
      <c r="E196" s="33">
        <v>735</v>
      </c>
      <c r="F196" s="36">
        <f>E196-G196</f>
        <v>0</v>
      </c>
      <c r="G196" s="36">
        <v>735</v>
      </c>
      <c r="H196" s="34">
        <v>45411</v>
      </c>
      <c r="I196" s="34"/>
      <c r="J196" s="34"/>
      <c r="K196" s="5" t="s">
        <v>864</v>
      </c>
      <c r="L196" s="5" t="s">
        <v>309</v>
      </c>
    </row>
    <row r="197" spans="2:15" x14ac:dyDescent="0.25">
      <c r="B197" s="5">
        <v>222</v>
      </c>
      <c r="C197" s="34">
        <v>45390</v>
      </c>
      <c r="D197" s="5" t="s">
        <v>321</v>
      </c>
      <c r="E197" s="36">
        <v>128.15</v>
      </c>
      <c r="F197" s="36">
        <f>E197-G197</f>
        <v>0</v>
      </c>
      <c r="G197" s="36">
        <v>128.15</v>
      </c>
      <c r="H197" s="34">
        <v>45394</v>
      </c>
      <c r="I197" s="34"/>
      <c r="J197" s="34"/>
      <c r="K197" s="5" t="s">
        <v>829</v>
      </c>
      <c r="L197" s="5" t="s">
        <v>309</v>
      </c>
      <c r="M197" s="5" t="s">
        <v>308</v>
      </c>
      <c r="N197" s="45"/>
    </row>
    <row r="198" spans="2:15" x14ac:dyDescent="0.25">
      <c r="B198" s="5">
        <v>246</v>
      </c>
      <c r="C198" s="34">
        <v>45398</v>
      </c>
      <c r="D198" s="5" t="s">
        <v>177</v>
      </c>
      <c r="E198" s="33">
        <v>224</v>
      </c>
      <c r="F198" s="36">
        <f>E198-G198</f>
        <v>0</v>
      </c>
      <c r="G198" s="33">
        <v>224</v>
      </c>
      <c r="H198" s="34">
        <v>45405</v>
      </c>
      <c r="I198" s="34"/>
      <c r="J198" s="34"/>
      <c r="K198" s="5" t="s">
        <v>837</v>
      </c>
      <c r="L198" s="5" t="s">
        <v>298</v>
      </c>
    </row>
    <row r="199" spans="2:15" x14ac:dyDescent="0.25">
      <c r="B199" s="5">
        <v>237</v>
      </c>
      <c r="C199" s="34">
        <v>45394</v>
      </c>
      <c r="D199" s="5" t="s">
        <v>863</v>
      </c>
      <c r="E199" s="36">
        <v>520</v>
      </c>
      <c r="F199" s="36">
        <f>E199-G199</f>
        <v>0</v>
      </c>
      <c r="G199" s="36">
        <v>520</v>
      </c>
      <c r="H199" s="34">
        <v>45404</v>
      </c>
      <c r="I199" s="34"/>
      <c r="J199" s="34"/>
      <c r="K199" s="5" t="s">
        <v>820</v>
      </c>
      <c r="L199" s="5" t="s">
        <v>303</v>
      </c>
    </row>
    <row r="200" spans="2:15" x14ac:dyDescent="0.25">
      <c r="B200" s="5">
        <v>232</v>
      </c>
      <c r="C200" s="34">
        <v>45393</v>
      </c>
      <c r="D200" s="5" t="s">
        <v>491</v>
      </c>
      <c r="E200" s="33">
        <v>676.8</v>
      </c>
      <c r="F200" s="36">
        <f>E200-G200</f>
        <v>0</v>
      </c>
      <c r="G200" s="33">
        <v>676.8</v>
      </c>
      <c r="H200" s="34">
        <v>45398</v>
      </c>
      <c r="I200" s="34"/>
      <c r="J200" s="34"/>
      <c r="K200" s="5" t="s">
        <v>525</v>
      </c>
      <c r="L200" s="5" t="s">
        <v>298</v>
      </c>
    </row>
    <row r="201" spans="2:15" x14ac:dyDescent="0.25">
      <c r="B201" s="5">
        <v>244</v>
      </c>
      <c r="C201" s="34">
        <v>45397</v>
      </c>
      <c r="D201" s="5" t="s">
        <v>300</v>
      </c>
      <c r="E201" s="33">
        <v>21</v>
      </c>
      <c r="F201" s="36">
        <f>E201-G201</f>
        <v>0</v>
      </c>
      <c r="G201" s="33">
        <v>21</v>
      </c>
      <c r="H201" s="34">
        <v>45404</v>
      </c>
      <c r="I201" s="34"/>
      <c r="J201" s="34"/>
      <c r="K201" s="5" t="s">
        <v>598</v>
      </c>
      <c r="L201" s="5" t="s">
        <v>298</v>
      </c>
    </row>
    <row r="202" spans="2:15" x14ac:dyDescent="0.25">
      <c r="B202" s="5">
        <v>238</v>
      </c>
      <c r="C202" s="34">
        <v>45394</v>
      </c>
      <c r="D202" s="5" t="s">
        <v>300</v>
      </c>
      <c r="E202" s="36">
        <v>13</v>
      </c>
      <c r="F202" s="36">
        <f>E202-G202</f>
        <v>0</v>
      </c>
      <c r="G202" s="36">
        <v>13</v>
      </c>
      <c r="H202" s="34">
        <v>45401</v>
      </c>
      <c r="I202" s="34"/>
      <c r="J202" s="34"/>
      <c r="K202" s="5" t="s">
        <v>862</v>
      </c>
      <c r="L202" s="5" t="s">
        <v>298</v>
      </c>
    </row>
    <row r="203" spans="2:15" x14ac:dyDescent="0.25">
      <c r="B203" s="5">
        <v>233</v>
      </c>
      <c r="C203" s="34">
        <v>45394</v>
      </c>
      <c r="D203" s="5" t="s">
        <v>300</v>
      </c>
      <c r="E203" s="36">
        <v>21</v>
      </c>
      <c r="F203" s="36">
        <f>E203-G203</f>
        <v>0</v>
      </c>
      <c r="G203" s="36">
        <v>21</v>
      </c>
      <c r="H203" s="34">
        <v>45401</v>
      </c>
      <c r="I203" s="34"/>
      <c r="J203" s="34"/>
      <c r="K203" s="5" t="s">
        <v>816</v>
      </c>
      <c r="L203" s="5" t="s">
        <v>298</v>
      </c>
    </row>
    <row r="204" spans="2:15" x14ac:dyDescent="0.25">
      <c r="B204" s="5">
        <v>262</v>
      </c>
      <c r="C204" s="34">
        <v>45222</v>
      </c>
      <c r="D204" s="5" t="s">
        <v>392</v>
      </c>
      <c r="E204" s="36">
        <f>O204*O2</f>
        <v>101527.9512</v>
      </c>
      <c r="F204" s="36">
        <f>E204-G204</f>
        <v>1.1999999987892807E-3</v>
      </c>
      <c r="G204" s="36">
        <v>101527.95</v>
      </c>
      <c r="H204" s="34">
        <v>45401</v>
      </c>
      <c r="I204" s="34"/>
      <c r="J204" s="34"/>
      <c r="K204" s="5" t="s">
        <v>525</v>
      </c>
      <c r="L204" s="5" t="s">
        <v>303</v>
      </c>
      <c r="M204" s="5" t="s">
        <v>308</v>
      </c>
      <c r="N204" s="5" t="s">
        <v>391</v>
      </c>
      <c r="O204" s="5">
        <v>109169.84</v>
      </c>
    </row>
    <row r="205" spans="2:15" x14ac:dyDescent="0.25">
      <c r="B205" s="5">
        <v>257</v>
      </c>
      <c r="C205" s="34">
        <v>45217</v>
      </c>
      <c r="D205" s="5" t="s">
        <v>328</v>
      </c>
      <c r="E205" s="36">
        <v>1801</v>
      </c>
      <c r="F205" s="36">
        <f>E205-G205</f>
        <v>0</v>
      </c>
      <c r="G205" s="36">
        <v>1801</v>
      </c>
      <c r="H205" s="34">
        <v>45225</v>
      </c>
      <c r="I205" s="34"/>
      <c r="J205" s="34"/>
      <c r="K205" s="5" t="s">
        <v>737</v>
      </c>
      <c r="L205" s="5" t="s">
        <v>303</v>
      </c>
      <c r="N205" s="5"/>
    </row>
    <row r="206" spans="2:15" x14ac:dyDescent="0.25">
      <c r="B206" s="5">
        <v>131</v>
      </c>
      <c r="C206" s="34">
        <v>45352</v>
      </c>
      <c r="D206" s="5" t="s">
        <v>374</v>
      </c>
      <c r="E206" s="36">
        <v>295.2</v>
      </c>
      <c r="F206" s="36">
        <f>E206-G206</f>
        <v>0</v>
      </c>
      <c r="G206" s="36">
        <v>295.2</v>
      </c>
      <c r="H206" s="34">
        <v>45380</v>
      </c>
      <c r="I206" s="34"/>
      <c r="J206" s="34"/>
      <c r="K206" s="5" t="s">
        <v>686</v>
      </c>
      <c r="L206" s="5" t="s">
        <v>298</v>
      </c>
      <c r="N206" s="45"/>
    </row>
    <row r="207" spans="2:15" x14ac:dyDescent="0.25">
      <c r="B207" s="5">
        <v>266</v>
      </c>
      <c r="C207" s="34">
        <v>45406</v>
      </c>
      <c r="D207" s="5" t="s">
        <v>861</v>
      </c>
      <c r="E207" s="36">
        <v>26.5</v>
      </c>
      <c r="F207" s="36">
        <f>E207-G207</f>
        <v>0</v>
      </c>
      <c r="G207" s="36">
        <v>26.5</v>
      </c>
      <c r="H207" s="34">
        <v>45408</v>
      </c>
      <c r="I207" s="34"/>
      <c r="J207" s="34"/>
      <c r="K207" s="5" t="s">
        <v>401</v>
      </c>
      <c r="L207" s="5" t="s">
        <v>298</v>
      </c>
    </row>
    <row r="208" spans="2:15" x14ac:dyDescent="0.25">
      <c r="B208" s="5">
        <v>48</v>
      </c>
      <c r="C208" s="34">
        <v>45316</v>
      </c>
      <c r="D208" s="5" t="s">
        <v>48</v>
      </c>
      <c r="E208" s="36">
        <f>O208*O2</f>
        <v>2663.52</v>
      </c>
      <c r="F208" s="36">
        <f>E208-G208</f>
        <v>0</v>
      </c>
      <c r="G208" s="36">
        <v>2663.52</v>
      </c>
      <c r="H208" s="34">
        <v>45443</v>
      </c>
      <c r="I208" s="34"/>
      <c r="J208" s="34"/>
      <c r="K208" s="5" t="s">
        <v>598</v>
      </c>
      <c r="L208" s="5" t="s">
        <v>309</v>
      </c>
      <c r="M208" s="5" t="s">
        <v>308</v>
      </c>
      <c r="N208" s="5" t="s">
        <v>391</v>
      </c>
      <c r="O208" s="47">
        <v>2864</v>
      </c>
    </row>
    <row r="209" spans="2:14" x14ac:dyDescent="0.25">
      <c r="B209" s="5">
        <v>204</v>
      </c>
      <c r="C209" s="34">
        <v>45384</v>
      </c>
      <c r="D209" s="5" t="s">
        <v>470</v>
      </c>
      <c r="E209" s="36">
        <v>2400</v>
      </c>
      <c r="F209" s="36">
        <f>E209-G209</f>
        <v>0</v>
      </c>
      <c r="G209" s="36">
        <v>2400</v>
      </c>
      <c r="H209" s="34">
        <v>45412</v>
      </c>
      <c r="I209" s="34"/>
      <c r="J209" s="34"/>
      <c r="K209" s="5" t="s">
        <v>825</v>
      </c>
      <c r="L209" s="5" t="s">
        <v>309</v>
      </c>
      <c r="N209" s="5"/>
    </row>
    <row r="210" spans="2:14" x14ac:dyDescent="0.25">
      <c r="B210" s="5">
        <v>252</v>
      </c>
      <c r="C210" s="34">
        <v>45400</v>
      </c>
      <c r="D210" s="5" t="s">
        <v>860</v>
      </c>
      <c r="E210" s="36">
        <v>600</v>
      </c>
      <c r="F210" s="36">
        <f>E210-G210</f>
        <v>0</v>
      </c>
      <c r="G210" s="36">
        <v>600</v>
      </c>
      <c r="H210" s="34">
        <v>45422</v>
      </c>
      <c r="I210" s="34"/>
      <c r="J210" s="34"/>
      <c r="K210" s="5" t="s">
        <v>812</v>
      </c>
      <c r="L210" s="5" t="s">
        <v>309</v>
      </c>
      <c r="M210" s="5" t="s">
        <v>308</v>
      </c>
      <c r="N210" s="5"/>
    </row>
    <row r="211" spans="2:14" x14ac:dyDescent="0.25">
      <c r="B211" s="5">
        <v>226</v>
      </c>
      <c r="C211" s="34">
        <v>45391</v>
      </c>
      <c r="D211" s="5" t="s">
        <v>368</v>
      </c>
      <c r="E211" s="36">
        <v>1472</v>
      </c>
      <c r="F211" s="36">
        <f>E211-G211</f>
        <v>0</v>
      </c>
      <c r="G211" s="36">
        <v>1472</v>
      </c>
      <c r="H211" s="34">
        <v>45392</v>
      </c>
      <c r="I211" s="34"/>
      <c r="J211" s="34"/>
      <c r="K211" s="5" t="s">
        <v>843</v>
      </c>
      <c r="L211" s="5" t="s">
        <v>859</v>
      </c>
      <c r="N211" s="45"/>
    </row>
    <row r="212" spans="2:14" x14ac:dyDescent="0.25">
      <c r="B212" s="5">
        <v>165</v>
      </c>
      <c r="C212" s="34">
        <v>45365</v>
      </c>
      <c r="D212" s="5" t="s">
        <v>307</v>
      </c>
      <c r="E212" s="36">
        <v>363.6</v>
      </c>
      <c r="F212" s="36">
        <f>E212-G212</f>
        <v>0</v>
      </c>
      <c r="G212" s="36">
        <v>363.6</v>
      </c>
      <c r="H212" s="34">
        <v>45376</v>
      </c>
      <c r="I212" s="34"/>
      <c r="J212" s="34"/>
      <c r="K212" s="5" t="s">
        <v>858</v>
      </c>
      <c r="L212" s="5" t="s">
        <v>303</v>
      </c>
      <c r="M212" s="5" t="s">
        <v>308</v>
      </c>
      <c r="N212" s="45"/>
    </row>
    <row r="213" spans="2:14" x14ac:dyDescent="0.25">
      <c r="B213" s="5">
        <v>108</v>
      </c>
      <c r="C213" s="34">
        <v>45344</v>
      </c>
      <c r="D213" s="5" t="s">
        <v>177</v>
      </c>
      <c r="E213" s="36">
        <v>772.01</v>
      </c>
      <c r="F213" s="36">
        <f>E213-G213</f>
        <v>0</v>
      </c>
      <c r="G213" s="36">
        <v>772.01</v>
      </c>
      <c r="H213" s="34">
        <v>45351</v>
      </c>
      <c r="I213" s="34"/>
      <c r="J213" s="34"/>
      <c r="K213" s="5" t="s">
        <v>849</v>
      </c>
      <c r="L213" s="5" t="s">
        <v>303</v>
      </c>
      <c r="N213" s="5"/>
    </row>
    <row r="214" spans="2:14" x14ac:dyDescent="0.25">
      <c r="B214" s="5">
        <v>172</v>
      </c>
      <c r="C214" s="34">
        <v>45369</v>
      </c>
      <c r="D214" s="5" t="s">
        <v>357</v>
      </c>
      <c r="E214" s="36">
        <v>608.96</v>
      </c>
      <c r="F214" s="36">
        <f>E214-G214</f>
        <v>0</v>
      </c>
      <c r="G214" s="36">
        <v>608.96</v>
      </c>
      <c r="H214" s="34">
        <v>45377</v>
      </c>
      <c r="I214" s="34"/>
      <c r="J214" s="34"/>
      <c r="K214" s="5" t="s">
        <v>525</v>
      </c>
      <c r="L214" s="5" t="s">
        <v>303</v>
      </c>
      <c r="M214" s="5" t="s">
        <v>308</v>
      </c>
      <c r="N214" s="5"/>
    </row>
    <row r="215" spans="2:14" x14ac:dyDescent="0.25">
      <c r="B215" s="5">
        <v>215</v>
      </c>
      <c r="C215" s="34">
        <v>45387</v>
      </c>
      <c r="D215" s="5" t="s">
        <v>328</v>
      </c>
      <c r="E215" s="36">
        <v>955.69</v>
      </c>
      <c r="F215" s="36">
        <f>E215-G215</f>
        <v>0</v>
      </c>
      <c r="G215" s="36">
        <v>955.69</v>
      </c>
      <c r="H215" s="34">
        <v>45392</v>
      </c>
      <c r="I215" s="34"/>
      <c r="J215" s="34"/>
      <c r="K215" s="5" t="s">
        <v>525</v>
      </c>
      <c r="L215" s="5" t="s">
        <v>303</v>
      </c>
      <c r="M215" s="5" t="s">
        <v>308</v>
      </c>
      <c r="N215" s="45"/>
    </row>
    <row r="216" spans="2:14" x14ac:dyDescent="0.25">
      <c r="B216" s="5">
        <v>245</v>
      </c>
      <c r="C216" s="34">
        <v>45398</v>
      </c>
      <c r="D216" s="5" t="s">
        <v>139</v>
      </c>
      <c r="E216" s="36">
        <v>1490</v>
      </c>
      <c r="F216" s="36">
        <f>E216-G216</f>
        <v>0</v>
      </c>
      <c r="G216" s="36">
        <v>1490</v>
      </c>
      <c r="H216" s="34">
        <v>45406</v>
      </c>
      <c r="I216" s="34"/>
      <c r="J216" s="34"/>
      <c r="K216" s="5" t="s">
        <v>598</v>
      </c>
      <c r="L216" s="5" t="s">
        <v>298</v>
      </c>
      <c r="N216" s="45"/>
    </row>
    <row r="217" spans="2:14" x14ac:dyDescent="0.25">
      <c r="B217" s="5">
        <v>211</v>
      </c>
      <c r="C217" s="34">
        <v>45387</v>
      </c>
      <c r="D217" s="5" t="s">
        <v>300</v>
      </c>
      <c r="E217" s="36">
        <v>210</v>
      </c>
      <c r="F217" s="36">
        <f>E217-G217</f>
        <v>0</v>
      </c>
      <c r="G217" s="36">
        <v>210</v>
      </c>
      <c r="H217" s="34">
        <v>45392</v>
      </c>
      <c r="I217" s="34"/>
      <c r="J217" s="34"/>
      <c r="K217" s="5" t="s">
        <v>598</v>
      </c>
      <c r="L217" s="5" t="s">
        <v>309</v>
      </c>
      <c r="N217" s="5"/>
    </row>
    <row r="218" spans="2:14" x14ac:dyDescent="0.25">
      <c r="B218" s="5">
        <v>264</v>
      </c>
      <c r="C218" s="34">
        <v>45405</v>
      </c>
      <c r="D218" s="5" t="s">
        <v>300</v>
      </c>
      <c r="E218" s="36">
        <v>147</v>
      </c>
      <c r="F218" s="36">
        <f>E218-G218</f>
        <v>0</v>
      </c>
      <c r="G218" s="36">
        <v>147</v>
      </c>
      <c r="H218" s="34">
        <v>45415</v>
      </c>
      <c r="I218" s="34"/>
      <c r="J218" s="34"/>
      <c r="K218" s="5" t="s">
        <v>857</v>
      </c>
      <c r="L218" s="5" t="s">
        <v>309</v>
      </c>
      <c r="M218" s="5" t="s">
        <v>308</v>
      </c>
    </row>
    <row r="219" spans="2:14" x14ac:dyDescent="0.25">
      <c r="B219" s="5">
        <v>262</v>
      </c>
      <c r="C219" s="34">
        <v>45404</v>
      </c>
      <c r="D219" s="5" t="s">
        <v>300</v>
      </c>
      <c r="E219" s="36">
        <v>39</v>
      </c>
      <c r="F219" s="36">
        <f>E219-G219</f>
        <v>0</v>
      </c>
      <c r="G219" s="36">
        <v>39</v>
      </c>
      <c r="H219" s="34">
        <v>45412</v>
      </c>
      <c r="I219" s="34"/>
      <c r="J219" s="34"/>
      <c r="K219" s="5" t="s">
        <v>742</v>
      </c>
      <c r="L219" s="5" t="s">
        <v>309</v>
      </c>
      <c r="M219" s="5" t="s">
        <v>308</v>
      </c>
    </row>
    <row r="220" spans="2:14" x14ac:dyDescent="0.25">
      <c r="B220" s="5">
        <v>190</v>
      </c>
      <c r="C220" s="34">
        <v>45376</v>
      </c>
      <c r="D220" s="5" t="s">
        <v>407</v>
      </c>
      <c r="E220" s="36">
        <v>2097.5</v>
      </c>
      <c r="F220" s="36">
        <f>E220-G220</f>
        <v>0</v>
      </c>
      <c r="G220" s="36">
        <v>2097.5</v>
      </c>
      <c r="H220" s="34">
        <v>45412</v>
      </c>
      <c r="I220" s="34"/>
      <c r="J220" s="34"/>
      <c r="K220" s="5" t="s">
        <v>525</v>
      </c>
      <c r="L220" s="5" t="s">
        <v>309</v>
      </c>
      <c r="M220" s="5" t="s">
        <v>308</v>
      </c>
      <c r="N220" s="45"/>
    </row>
    <row r="221" spans="2:14" x14ac:dyDescent="0.25">
      <c r="B221" s="5">
        <v>236</v>
      </c>
      <c r="C221" s="34">
        <v>45394</v>
      </c>
      <c r="D221" s="5" t="s">
        <v>856</v>
      </c>
      <c r="E221" s="36">
        <v>8500</v>
      </c>
      <c r="F221" s="36">
        <f>E221-G221</f>
        <v>0</v>
      </c>
      <c r="G221" s="36">
        <v>8500</v>
      </c>
      <c r="H221" s="34">
        <v>45415</v>
      </c>
      <c r="I221" s="34"/>
      <c r="J221" s="34"/>
      <c r="K221" s="5" t="s">
        <v>525</v>
      </c>
      <c r="L221" s="5" t="s">
        <v>309</v>
      </c>
      <c r="M221" s="5" t="s">
        <v>308</v>
      </c>
      <c r="N221" s="45"/>
    </row>
    <row r="222" spans="2:14" x14ac:dyDescent="0.25">
      <c r="B222" s="5">
        <v>184</v>
      </c>
      <c r="C222" s="34">
        <v>45372</v>
      </c>
      <c r="D222" s="5" t="s">
        <v>23</v>
      </c>
      <c r="E222" s="36">
        <v>209.92</v>
      </c>
      <c r="F222" s="36">
        <f>E222-G222</f>
        <v>0</v>
      </c>
      <c r="G222" s="36">
        <v>209.92</v>
      </c>
      <c r="H222" s="34">
        <v>45378</v>
      </c>
      <c r="I222" s="34"/>
      <c r="J222" s="34"/>
      <c r="K222" s="5" t="s">
        <v>855</v>
      </c>
      <c r="L222" s="5" t="s">
        <v>303</v>
      </c>
      <c r="M222" s="5" t="s">
        <v>308</v>
      </c>
      <c r="N222" s="45"/>
    </row>
    <row r="223" spans="2:14" x14ac:dyDescent="0.25">
      <c r="B223" s="5">
        <v>99</v>
      </c>
      <c r="C223" s="34">
        <v>45104</v>
      </c>
      <c r="D223" s="5" t="s">
        <v>806</v>
      </c>
      <c r="E223" s="36">
        <v>420</v>
      </c>
      <c r="F223" s="36">
        <f>E223-G223</f>
        <v>0</v>
      </c>
      <c r="G223" s="36">
        <v>420</v>
      </c>
      <c r="H223" s="34">
        <v>45138</v>
      </c>
      <c r="I223" s="34"/>
      <c r="J223" s="34"/>
      <c r="K223" s="5" t="s">
        <v>854</v>
      </c>
      <c r="L223" s="5" t="s">
        <v>303</v>
      </c>
      <c r="N223" s="5"/>
    </row>
    <row r="224" spans="2:14" x14ac:dyDescent="0.25">
      <c r="B224" s="5">
        <v>159</v>
      </c>
      <c r="C224" s="34">
        <v>45363</v>
      </c>
      <c r="D224" s="5" t="s">
        <v>853</v>
      </c>
      <c r="E224" s="36">
        <v>1360</v>
      </c>
      <c r="F224" s="36">
        <f>E224-G224</f>
        <v>0</v>
      </c>
      <c r="G224" s="36">
        <v>1360</v>
      </c>
      <c r="H224" s="34">
        <v>45373</v>
      </c>
      <c r="I224" s="34"/>
      <c r="J224" s="34"/>
      <c r="K224" s="5" t="s">
        <v>686</v>
      </c>
      <c r="L224" s="5" t="s">
        <v>309</v>
      </c>
      <c r="M224" s="5" t="s">
        <v>308</v>
      </c>
      <c r="N224" s="45"/>
    </row>
    <row r="225" spans="2:14" x14ac:dyDescent="0.25">
      <c r="B225" s="5">
        <v>161</v>
      </c>
      <c r="C225" s="34">
        <v>45365</v>
      </c>
      <c r="D225" s="5" t="s">
        <v>405</v>
      </c>
      <c r="E225" s="36">
        <v>14850</v>
      </c>
      <c r="F225" s="36">
        <f>E225-G225</f>
        <v>0</v>
      </c>
      <c r="G225" s="36">
        <v>14850</v>
      </c>
      <c r="H225" s="34">
        <v>45380</v>
      </c>
      <c r="I225" s="34"/>
      <c r="J225" s="34"/>
      <c r="K225" s="5" t="s">
        <v>852</v>
      </c>
      <c r="L225" s="5" t="s">
        <v>309</v>
      </c>
      <c r="M225" s="5" t="s">
        <v>822</v>
      </c>
      <c r="N225" s="45"/>
    </row>
    <row r="226" spans="2:14" x14ac:dyDescent="0.25">
      <c r="B226" s="5">
        <v>155</v>
      </c>
      <c r="C226" s="34">
        <v>45363</v>
      </c>
      <c r="D226" s="5" t="s">
        <v>477</v>
      </c>
      <c r="E226" s="36">
        <v>2869</v>
      </c>
      <c r="F226" s="36">
        <f>E226-G226</f>
        <v>0</v>
      </c>
      <c r="G226" s="36">
        <v>2869</v>
      </c>
      <c r="H226" s="34">
        <v>45387</v>
      </c>
      <c r="I226" s="34"/>
      <c r="J226" s="34"/>
      <c r="K226" s="5" t="s">
        <v>851</v>
      </c>
      <c r="L226" s="5" t="s">
        <v>303</v>
      </c>
      <c r="M226" s="5" t="s">
        <v>308</v>
      </c>
      <c r="N226" s="45"/>
    </row>
    <row r="227" spans="2:14" x14ac:dyDescent="0.25">
      <c r="B227" s="5">
        <v>228</v>
      </c>
      <c r="C227" s="34">
        <v>45391</v>
      </c>
      <c r="D227" s="5" t="s">
        <v>187</v>
      </c>
      <c r="E227" s="36">
        <v>484.2</v>
      </c>
      <c r="F227" s="36">
        <f>E227-G227</f>
        <v>0</v>
      </c>
      <c r="G227" s="36">
        <v>484.2</v>
      </c>
      <c r="H227" s="34">
        <v>45394</v>
      </c>
      <c r="I227" s="34"/>
      <c r="J227" s="34"/>
      <c r="K227" s="5" t="s">
        <v>829</v>
      </c>
      <c r="L227" s="5" t="s">
        <v>309</v>
      </c>
      <c r="M227" s="5" t="s">
        <v>308</v>
      </c>
      <c r="N227" s="45"/>
    </row>
    <row r="228" spans="2:14" x14ac:dyDescent="0.25">
      <c r="B228" s="5">
        <v>268</v>
      </c>
      <c r="C228" s="34">
        <v>45412</v>
      </c>
      <c r="D228" s="5" t="s">
        <v>850</v>
      </c>
      <c r="E228" s="36">
        <v>258.69</v>
      </c>
      <c r="F228" s="36">
        <f>E228-G228</f>
        <v>0</v>
      </c>
      <c r="G228" s="36">
        <v>258.69</v>
      </c>
      <c r="H228" s="34">
        <v>45422</v>
      </c>
      <c r="I228" s="34"/>
      <c r="J228" s="34"/>
      <c r="K228" s="5" t="s">
        <v>849</v>
      </c>
      <c r="L228" s="5" t="s">
        <v>309</v>
      </c>
      <c r="M228" s="5" t="s">
        <v>308</v>
      </c>
      <c r="N228" s="5"/>
    </row>
    <row r="229" spans="2:14" x14ac:dyDescent="0.25">
      <c r="B229" s="5">
        <v>273</v>
      </c>
      <c r="C229" s="34">
        <v>45415</v>
      </c>
      <c r="D229" s="5" t="s">
        <v>307</v>
      </c>
      <c r="E229" s="33">
        <v>14.99</v>
      </c>
      <c r="F229" s="33">
        <f>E229-G229</f>
        <v>0</v>
      </c>
      <c r="G229" s="33">
        <v>14.99</v>
      </c>
      <c r="H229" s="34">
        <v>45426</v>
      </c>
      <c r="I229" s="34"/>
      <c r="J229" s="34"/>
      <c r="K229" s="5" t="s">
        <v>849</v>
      </c>
      <c r="L229" s="5" t="s">
        <v>309</v>
      </c>
      <c r="M229" s="5" t="s">
        <v>308</v>
      </c>
    </row>
    <row r="230" spans="2:14" x14ac:dyDescent="0.25">
      <c r="B230" s="5">
        <v>265</v>
      </c>
      <c r="C230" s="34">
        <v>45406</v>
      </c>
      <c r="D230" s="5" t="s">
        <v>537</v>
      </c>
      <c r="E230" s="36">
        <v>310.64999999999998</v>
      </c>
      <c r="F230" s="36">
        <f>E230-G230</f>
        <v>0</v>
      </c>
      <c r="G230" s="36">
        <v>310.64999999999998</v>
      </c>
      <c r="H230" s="34">
        <v>45412</v>
      </c>
      <c r="I230" s="34"/>
      <c r="J230" s="34"/>
      <c r="K230" s="5" t="s">
        <v>525</v>
      </c>
      <c r="L230" s="5" t="s">
        <v>309</v>
      </c>
      <c r="N230" s="45"/>
    </row>
    <row r="231" spans="2:14" x14ac:dyDescent="0.25">
      <c r="B231" s="5">
        <v>421</v>
      </c>
      <c r="C231" s="34">
        <v>45280</v>
      </c>
      <c r="D231" s="5" t="s">
        <v>466</v>
      </c>
      <c r="E231" s="101">
        <v>2421</v>
      </c>
      <c r="F231" s="101">
        <f>E231-G231</f>
        <v>0</v>
      </c>
      <c r="G231" s="101">
        <v>2421</v>
      </c>
      <c r="H231" s="34">
        <v>45415</v>
      </c>
      <c r="I231" s="34"/>
      <c r="J231" s="34"/>
      <c r="K231" s="5" t="s">
        <v>686</v>
      </c>
      <c r="L231" s="5" t="s">
        <v>309</v>
      </c>
      <c r="M231" s="5" t="s">
        <v>308</v>
      </c>
      <c r="N231" s="45"/>
    </row>
    <row r="232" spans="2:14" x14ac:dyDescent="0.25">
      <c r="B232" s="5">
        <v>221</v>
      </c>
      <c r="C232" s="34">
        <v>45390</v>
      </c>
      <c r="D232" s="5" t="s">
        <v>446</v>
      </c>
      <c r="E232" s="36">
        <v>2870</v>
      </c>
      <c r="F232" s="36">
        <f>E232-G232</f>
        <v>0</v>
      </c>
      <c r="G232" s="36">
        <v>2870</v>
      </c>
      <c r="H232" s="34">
        <v>45404</v>
      </c>
      <c r="I232" s="34"/>
      <c r="J232" s="34"/>
      <c r="K232" s="5" t="s">
        <v>525</v>
      </c>
      <c r="L232" s="5" t="s">
        <v>303</v>
      </c>
    </row>
    <row r="233" spans="2:14" x14ac:dyDescent="0.25">
      <c r="B233" s="5">
        <v>199</v>
      </c>
      <c r="C233" s="34">
        <v>45377</v>
      </c>
      <c r="D233" s="5" t="s">
        <v>347</v>
      </c>
      <c r="E233" s="36">
        <v>2140</v>
      </c>
      <c r="F233" s="36">
        <f>E233-G233</f>
        <v>0</v>
      </c>
      <c r="G233" s="36">
        <v>2140</v>
      </c>
      <c r="H233" s="34">
        <v>45408</v>
      </c>
      <c r="I233" s="34"/>
      <c r="J233" s="34"/>
      <c r="K233" s="5" t="s">
        <v>686</v>
      </c>
      <c r="L233" s="5" t="s">
        <v>309</v>
      </c>
      <c r="M233" s="5" t="s">
        <v>308</v>
      </c>
      <c r="N233" s="45"/>
    </row>
    <row r="234" spans="2:14" x14ac:dyDescent="0.25">
      <c r="B234" s="5">
        <v>260</v>
      </c>
      <c r="C234" s="34">
        <v>45404</v>
      </c>
      <c r="D234" s="5" t="s">
        <v>848</v>
      </c>
      <c r="E234" s="36">
        <v>1528.4</v>
      </c>
      <c r="F234" s="36">
        <f>E234-G234</f>
        <v>0</v>
      </c>
      <c r="G234" s="36">
        <v>1528.4</v>
      </c>
      <c r="H234" s="34">
        <v>45411</v>
      </c>
      <c r="I234" s="34"/>
      <c r="J234" s="34"/>
      <c r="K234" s="5" t="s">
        <v>788</v>
      </c>
      <c r="L234" s="5" t="s">
        <v>309</v>
      </c>
      <c r="N234" s="45"/>
    </row>
    <row r="235" spans="2:14" x14ac:dyDescent="0.25">
      <c r="B235" s="5">
        <v>297</v>
      </c>
      <c r="C235" s="34">
        <v>45422</v>
      </c>
      <c r="D235" s="5" t="s">
        <v>573</v>
      </c>
      <c r="E235" s="33">
        <v>125</v>
      </c>
      <c r="F235" s="33">
        <f>E235-G235</f>
        <v>0</v>
      </c>
      <c r="G235" s="33">
        <v>125</v>
      </c>
      <c r="H235" s="34">
        <v>45426</v>
      </c>
      <c r="I235" s="34"/>
      <c r="J235" s="34"/>
      <c r="K235" s="5" t="s">
        <v>810</v>
      </c>
      <c r="L235" s="5" t="s">
        <v>298</v>
      </c>
    </row>
    <row r="236" spans="2:14" x14ac:dyDescent="0.25">
      <c r="B236" s="5">
        <v>292</v>
      </c>
      <c r="C236" s="34">
        <v>45422</v>
      </c>
      <c r="D236" s="5" t="s">
        <v>307</v>
      </c>
      <c r="E236" s="33">
        <v>22</v>
      </c>
      <c r="F236" s="33">
        <f>E236-G236</f>
        <v>0</v>
      </c>
      <c r="G236" s="33">
        <v>22</v>
      </c>
      <c r="H236" s="34">
        <v>45427</v>
      </c>
      <c r="I236" s="34"/>
      <c r="J236" s="34"/>
      <c r="K236" s="5" t="s">
        <v>847</v>
      </c>
      <c r="L236" s="5" t="s">
        <v>298</v>
      </c>
    </row>
    <row r="237" spans="2:14" x14ac:dyDescent="0.25">
      <c r="B237" s="5">
        <v>263</v>
      </c>
      <c r="C237" s="34">
        <v>45405</v>
      </c>
      <c r="D237" s="5" t="s">
        <v>612</v>
      </c>
      <c r="E237" s="36">
        <v>317.39999999999998</v>
      </c>
      <c r="F237" s="36">
        <f>E237-G237</f>
        <v>0</v>
      </c>
      <c r="G237" s="36">
        <v>317.39999999999998</v>
      </c>
      <c r="H237" s="34">
        <v>45415</v>
      </c>
      <c r="I237" s="34"/>
      <c r="J237" s="34"/>
      <c r="K237" s="5" t="s">
        <v>846</v>
      </c>
      <c r="L237" s="5" t="s">
        <v>309</v>
      </c>
      <c r="M237" s="5" t="s">
        <v>308</v>
      </c>
      <c r="N237" s="45"/>
    </row>
    <row r="238" spans="2:14" x14ac:dyDescent="0.25">
      <c r="B238" s="5">
        <v>248</v>
      </c>
      <c r="C238" s="34">
        <v>45398</v>
      </c>
      <c r="D238" s="5" t="s">
        <v>23</v>
      </c>
      <c r="E238" s="36">
        <v>146.16</v>
      </c>
      <c r="F238" s="36">
        <f>E238-G238</f>
        <v>0</v>
      </c>
      <c r="G238" s="36">
        <v>146.16</v>
      </c>
      <c r="H238" s="34">
        <v>45412</v>
      </c>
      <c r="I238" s="34"/>
      <c r="J238" s="34"/>
      <c r="K238" s="5" t="s">
        <v>598</v>
      </c>
      <c r="L238" s="5" t="s">
        <v>303</v>
      </c>
      <c r="M238" s="5" t="s">
        <v>308</v>
      </c>
      <c r="N238" s="45"/>
    </row>
    <row r="239" spans="2:14" x14ac:dyDescent="0.25">
      <c r="B239" s="5">
        <v>298</v>
      </c>
      <c r="C239" s="34">
        <v>45422</v>
      </c>
      <c r="D239" s="5" t="s">
        <v>177</v>
      </c>
      <c r="E239" s="33">
        <v>77.48</v>
      </c>
      <c r="F239" s="33">
        <f>E239-G239</f>
        <v>0</v>
      </c>
      <c r="G239" s="33">
        <v>77.48</v>
      </c>
      <c r="H239" s="34">
        <v>45429</v>
      </c>
      <c r="I239" s="34"/>
      <c r="J239" s="34"/>
      <c r="K239" s="5" t="s">
        <v>846</v>
      </c>
      <c r="L239" s="5" t="s">
        <v>298</v>
      </c>
    </row>
    <row r="240" spans="2:14" x14ac:dyDescent="0.25">
      <c r="B240" s="5">
        <v>294</v>
      </c>
      <c r="C240" s="34">
        <v>45422</v>
      </c>
      <c r="D240" s="5" t="s">
        <v>177</v>
      </c>
      <c r="E240" s="33">
        <v>488.02</v>
      </c>
      <c r="F240" s="33">
        <f>E240-G240</f>
        <v>0</v>
      </c>
      <c r="G240" s="33">
        <v>488.02</v>
      </c>
      <c r="H240" s="34">
        <v>45429</v>
      </c>
      <c r="I240" s="34"/>
      <c r="J240" s="34"/>
      <c r="K240" s="5" t="s">
        <v>846</v>
      </c>
      <c r="L240" s="5" t="s">
        <v>298</v>
      </c>
    </row>
    <row r="241" spans="2:14" x14ac:dyDescent="0.25">
      <c r="B241" s="5">
        <v>274</v>
      </c>
      <c r="C241" s="34">
        <v>45415</v>
      </c>
      <c r="D241" s="5" t="s">
        <v>307</v>
      </c>
      <c r="E241" s="36">
        <v>37.06</v>
      </c>
      <c r="F241" s="36">
        <f>E241-G241</f>
        <v>0</v>
      </c>
      <c r="G241" s="36">
        <v>37.06</v>
      </c>
      <c r="H241" s="34">
        <v>45419</v>
      </c>
      <c r="I241" s="34"/>
      <c r="J241" s="34"/>
      <c r="K241" s="5" t="s">
        <v>845</v>
      </c>
      <c r="L241" s="5" t="s">
        <v>309</v>
      </c>
      <c r="M241" s="5" t="s">
        <v>308</v>
      </c>
      <c r="N241" s="5"/>
    </row>
    <row r="242" spans="2:14" x14ac:dyDescent="0.25">
      <c r="B242" s="5">
        <v>290</v>
      </c>
      <c r="C242" s="34">
        <v>45422</v>
      </c>
      <c r="D242" s="5" t="s">
        <v>185</v>
      </c>
      <c r="E242" s="36">
        <v>399.13</v>
      </c>
      <c r="F242" s="36">
        <f>E242-G242</f>
        <v>0</v>
      </c>
      <c r="G242" s="36">
        <v>399.13</v>
      </c>
      <c r="H242" s="34">
        <v>45427</v>
      </c>
      <c r="I242" s="34"/>
      <c r="J242" s="34"/>
      <c r="K242" s="5" t="s">
        <v>747</v>
      </c>
      <c r="L242" s="5" t="s">
        <v>298</v>
      </c>
      <c r="N242" s="45"/>
    </row>
    <row r="243" spans="2:14" x14ac:dyDescent="0.25">
      <c r="B243" s="5">
        <v>217</v>
      </c>
      <c r="C243" s="34">
        <v>45387</v>
      </c>
      <c r="D243" s="5" t="s">
        <v>321</v>
      </c>
      <c r="E243" s="36">
        <v>121.73</v>
      </c>
      <c r="F243" s="36">
        <f>E243-G243</f>
        <v>0</v>
      </c>
      <c r="G243" s="36">
        <v>121.73</v>
      </c>
      <c r="H243" s="34">
        <v>45466</v>
      </c>
      <c r="I243" s="34"/>
      <c r="J243" s="34"/>
      <c r="K243" s="5" t="s">
        <v>525</v>
      </c>
      <c r="L243" s="5" t="s">
        <v>309</v>
      </c>
      <c r="M243" s="5" t="s">
        <v>308</v>
      </c>
      <c r="N243" s="45"/>
    </row>
    <row r="244" spans="2:14" x14ac:dyDescent="0.25">
      <c r="B244" s="5">
        <v>70</v>
      </c>
      <c r="C244" s="34">
        <v>45328</v>
      </c>
      <c r="D244" s="5" t="s">
        <v>402</v>
      </c>
      <c r="E244" s="36">
        <v>2450</v>
      </c>
      <c r="F244" s="36">
        <f>E244-G244</f>
        <v>0</v>
      </c>
      <c r="G244" s="36">
        <v>2450</v>
      </c>
      <c r="H244" s="34">
        <v>45349</v>
      </c>
      <c r="I244" s="34"/>
      <c r="J244" s="34"/>
      <c r="K244" s="5" t="s">
        <v>844</v>
      </c>
      <c r="L244" s="5" t="s">
        <v>309</v>
      </c>
      <c r="M244" s="5" t="s">
        <v>308</v>
      </c>
      <c r="N244" s="45"/>
    </row>
    <row r="245" spans="2:14" x14ac:dyDescent="0.25">
      <c r="B245" s="5">
        <v>71</v>
      </c>
      <c r="C245" s="34">
        <v>45328</v>
      </c>
      <c r="D245" s="5" t="s">
        <v>402</v>
      </c>
      <c r="E245" s="36">
        <v>2900</v>
      </c>
      <c r="F245" s="36">
        <f>E245-G245</f>
        <v>0</v>
      </c>
      <c r="G245" s="36">
        <v>2900</v>
      </c>
      <c r="H245" s="34">
        <v>45349</v>
      </c>
      <c r="I245" s="34"/>
      <c r="J245" s="34"/>
      <c r="K245" s="5" t="s">
        <v>844</v>
      </c>
      <c r="L245" s="5" t="s">
        <v>309</v>
      </c>
      <c r="M245" s="5" t="s">
        <v>308</v>
      </c>
      <c r="N245" s="45"/>
    </row>
    <row r="246" spans="2:14" x14ac:dyDescent="0.25">
      <c r="B246" s="5">
        <v>150</v>
      </c>
      <c r="C246" s="34">
        <v>45359</v>
      </c>
      <c r="D246" s="5" t="s">
        <v>402</v>
      </c>
      <c r="E246" s="36">
        <v>310</v>
      </c>
      <c r="F246" s="36">
        <f>E246-G246</f>
        <v>0</v>
      </c>
      <c r="G246" s="36">
        <v>310</v>
      </c>
      <c r="H246" s="34">
        <v>45387</v>
      </c>
      <c r="I246" s="34"/>
      <c r="J246" s="34"/>
      <c r="K246" s="5" t="s">
        <v>525</v>
      </c>
      <c r="L246" s="5" t="s">
        <v>309</v>
      </c>
      <c r="N246" s="45"/>
    </row>
    <row r="247" spans="2:14" x14ac:dyDescent="0.25">
      <c r="B247" s="5">
        <v>272</v>
      </c>
      <c r="C247" s="34">
        <v>45415</v>
      </c>
      <c r="D247" s="5" t="s">
        <v>368</v>
      </c>
      <c r="E247" s="33">
        <v>956.6</v>
      </c>
      <c r="F247" s="33">
        <f>E247-G247</f>
        <v>0</v>
      </c>
      <c r="G247" s="33">
        <v>956.6</v>
      </c>
      <c r="H247" s="34">
        <v>45429</v>
      </c>
      <c r="I247" s="34"/>
      <c r="J247" s="34"/>
      <c r="K247" s="5" t="s">
        <v>843</v>
      </c>
      <c r="L247" s="5" t="s">
        <v>298</v>
      </c>
      <c r="N247" s="5"/>
    </row>
    <row r="248" spans="2:14" x14ac:dyDescent="0.25">
      <c r="B248" s="5">
        <v>284</v>
      </c>
      <c r="C248" s="34">
        <v>45420</v>
      </c>
      <c r="D248" s="5" t="s">
        <v>300</v>
      </c>
      <c r="E248" s="33">
        <v>52.5</v>
      </c>
      <c r="F248" s="33">
        <f>E248-G248</f>
        <v>0</v>
      </c>
      <c r="G248" s="33">
        <v>52.5</v>
      </c>
      <c r="H248" s="34">
        <v>45427</v>
      </c>
      <c r="I248" s="34"/>
      <c r="J248" s="34"/>
      <c r="K248" s="5" t="s">
        <v>821</v>
      </c>
      <c r="L248" s="5" t="s">
        <v>595</v>
      </c>
    </row>
    <row r="249" spans="2:14" x14ac:dyDescent="0.25">
      <c r="B249" s="5">
        <v>253</v>
      </c>
      <c r="C249" s="34">
        <v>45400</v>
      </c>
      <c r="D249" s="5" t="s">
        <v>368</v>
      </c>
      <c r="E249" s="36">
        <v>599.6</v>
      </c>
      <c r="F249" s="36">
        <f>E249-G249</f>
        <v>0</v>
      </c>
      <c r="G249" s="36">
        <v>599.6</v>
      </c>
      <c r="H249" s="34">
        <v>45411</v>
      </c>
      <c r="I249" s="34"/>
      <c r="J249" s="34"/>
      <c r="K249" s="5" t="s">
        <v>843</v>
      </c>
      <c r="L249" s="5" t="s">
        <v>309</v>
      </c>
      <c r="N249" s="45"/>
    </row>
    <row r="250" spans="2:14" x14ac:dyDescent="0.25">
      <c r="B250" s="5">
        <v>194</v>
      </c>
      <c r="C250" s="34">
        <v>45377</v>
      </c>
      <c r="D250" s="5" t="s">
        <v>842</v>
      </c>
      <c r="E250" s="36">
        <v>300</v>
      </c>
      <c r="F250" s="36">
        <f>E250-G250</f>
        <v>0</v>
      </c>
      <c r="G250" s="36">
        <v>300</v>
      </c>
      <c r="H250" s="34">
        <v>45397</v>
      </c>
      <c r="I250" s="34"/>
      <c r="J250" s="34"/>
      <c r="K250" s="5" t="s">
        <v>841</v>
      </c>
      <c r="L250" s="5" t="s">
        <v>309</v>
      </c>
      <c r="M250" s="5" t="s">
        <v>308</v>
      </c>
      <c r="N250" s="45"/>
    </row>
    <row r="251" spans="2:14" x14ac:dyDescent="0.25">
      <c r="B251" s="5">
        <v>305</v>
      </c>
      <c r="C251" s="34">
        <v>45425</v>
      </c>
      <c r="D251" s="5" t="s">
        <v>23</v>
      </c>
      <c r="E251" s="36">
        <v>84.8</v>
      </c>
      <c r="F251" s="36">
        <f>E251-G251</f>
        <v>0</v>
      </c>
      <c r="G251" s="36">
        <v>84.8</v>
      </c>
      <c r="H251" s="34">
        <v>45428</v>
      </c>
      <c r="I251" s="34"/>
      <c r="J251" s="34"/>
      <c r="K251" s="5" t="s">
        <v>810</v>
      </c>
      <c r="L251" s="5" t="s">
        <v>298</v>
      </c>
      <c r="N251" s="5"/>
    </row>
    <row r="252" spans="2:14" x14ac:dyDescent="0.25">
      <c r="B252" s="5">
        <v>271</v>
      </c>
      <c r="C252" s="34">
        <v>45414</v>
      </c>
      <c r="D252" s="5" t="s">
        <v>175</v>
      </c>
      <c r="E252" s="36">
        <v>240</v>
      </c>
      <c r="F252" s="36">
        <f>E252-G252</f>
        <v>0</v>
      </c>
      <c r="G252" s="36">
        <v>240</v>
      </c>
      <c r="H252" s="34">
        <v>45414</v>
      </c>
      <c r="I252" s="34"/>
      <c r="J252" s="34"/>
      <c r="K252" s="5" t="s">
        <v>840</v>
      </c>
      <c r="L252" s="5" t="s">
        <v>309</v>
      </c>
      <c r="N252" s="45"/>
    </row>
    <row r="253" spans="2:14" x14ac:dyDescent="0.25">
      <c r="B253" s="5">
        <v>269</v>
      </c>
      <c r="C253" s="34">
        <v>45412</v>
      </c>
      <c r="D253" s="5" t="s">
        <v>177</v>
      </c>
      <c r="E253" s="36">
        <v>4170</v>
      </c>
      <c r="F253" s="36">
        <f>E253-G253</f>
        <v>0</v>
      </c>
      <c r="G253" s="36">
        <v>4170</v>
      </c>
      <c r="H253" s="34">
        <v>45422</v>
      </c>
      <c r="I253" s="34"/>
      <c r="J253" s="34"/>
      <c r="K253" s="5" t="s">
        <v>603</v>
      </c>
      <c r="L253" s="5" t="s">
        <v>298</v>
      </c>
      <c r="N253" s="5"/>
    </row>
    <row r="254" spans="2:14" x14ac:dyDescent="0.25">
      <c r="B254" s="5">
        <v>293</v>
      </c>
      <c r="C254" s="34">
        <v>45422</v>
      </c>
      <c r="D254" s="5" t="s">
        <v>491</v>
      </c>
      <c r="E254" s="36">
        <v>19.43</v>
      </c>
      <c r="F254" s="36">
        <f>E254-G254</f>
        <v>0</v>
      </c>
      <c r="G254" s="36">
        <v>19.43</v>
      </c>
      <c r="H254" s="34">
        <v>45425</v>
      </c>
      <c r="I254" s="34"/>
      <c r="J254" s="34"/>
      <c r="K254" s="5" t="s">
        <v>821</v>
      </c>
      <c r="L254" s="5" t="s">
        <v>298</v>
      </c>
      <c r="N254" s="5"/>
    </row>
    <row r="255" spans="2:14" x14ac:dyDescent="0.25">
      <c r="B255" s="5">
        <v>224</v>
      </c>
      <c r="C255" s="34">
        <v>45390</v>
      </c>
      <c r="D255" s="5" t="s">
        <v>23</v>
      </c>
      <c r="E255" s="36">
        <v>2866.4</v>
      </c>
      <c r="F255" s="36">
        <f>E255-G255</f>
        <v>0</v>
      </c>
      <c r="G255" s="36">
        <v>2866.4</v>
      </c>
      <c r="H255" s="34">
        <v>45480</v>
      </c>
      <c r="I255" s="34"/>
      <c r="J255" s="34"/>
      <c r="K255" s="5" t="s">
        <v>525</v>
      </c>
      <c r="L255" s="5" t="s">
        <v>303</v>
      </c>
      <c r="M255" s="5" t="s">
        <v>308</v>
      </c>
      <c r="N255" s="45"/>
    </row>
    <row r="256" spans="2:14" x14ac:dyDescent="0.25">
      <c r="B256" s="5">
        <v>287</v>
      </c>
      <c r="C256" s="34">
        <v>45421</v>
      </c>
      <c r="D256" s="5" t="s">
        <v>806</v>
      </c>
      <c r="E256" s="36">
        <v>720</v>
      </c>
      <c r="F256" s="36">
        <f>E256-G256</f>
        <v>0</v>
      </c>
      <c r="G256" s="36">
        <v>720</v>
      </c>
      <c r="H256" s="34">
        <v>45422</v>
      </c>
      <c r="I256" s="34"/>
      <c r="J256" s="34"/>
      <c r="K256" s="5" t="s">
        <v>792</v>
      </c>
      <c r="L256" s="5" t="s">
        <v>298</v>
      </c>
      <c r="N256" s="45"/>
    </row>
    <row r="257" spans="2:16" x14ac:dyDescent="0.25">
      <c r="B257" s="5">
        <v>300</v>
      </c>
      <c r="C257" s="34">
        <v>45422</v>
      </c>
      <c r="D257" s="5" t="s">
        <v>537</v>
      </c>
      <c r="E257" s="33">
        <v>173.46</v>
      </c>
      <c r="F257" s="33">
        <f>E257-G257</f>
        <v>0</v>
      </c>
      <c r="G257" s="33">
        <v>173.46</v>
      </c>
      <c r="H257" s="34">
        <v>45429</v>
      </c>
      <c r="I257" s="34"/>
      <c r="J257" s="34"/>
      <c r="K257" s="5" t="s">
        <v>821</v>
      </c>
      <c r="L257" s="5" t="s">
        <v>298</v>
      </c>
    </row>
    <row r="258" spans="2:16" x14ac:dyDescent="0.25">
      <c r="B258" s="5">
        <v>301</v>
      </c>
      <c r="C258" s="34">
        <v>45422</v>
      </c>
      <c r="D258" s="5" t="s">
        <v>806</v>
      </c>
      <c r="E258" s="33">
        <v>240</v>
      </c>
      <c r="F258" s="33">
        <f>E258-G258</f>
        <v>0</v>
      </c>
      <c r="G258" s="33">
        <v>240</v>
      </c>
      <c r="H258" s="34">
        <v>45426</v>
      </c>
      <c r="I258" s="34"/>
      <c r="J258" s="34"/>
      <c r="K258" s="5" t="s">
        <v>839</v>
      </c>
      <c r="L258" s="5" t="s">
        <v>298</v>
      </c>
    </row>
    <row r="259" spans="2:16" x14ac:dyDescent="0.25">
      <c r="B259" s="5">
        <v>254</v>
      </c>
      <c r="C259" s="34">
        <v>45400</v>
      </c>
      <c r="D259" s="5" t="s">
        <v>838</v>
      </c>
      <c r="E259" s="36">
        <v>200</v>
      </c>
      <c r="F259" s="36">
        <f>E259-G259</f>
        <v>0</v>
      </c>
      <c r="G259" s="36">
        <v>200</v>
      </c>
      <c r="H259" s="34">
        <v>45400</v>
      </c>
      <c r="I259" s="34"/>
      <c r="J259" s="34"/>
      <c r="K259" s="5" t="s">
        <v>837</v>
      </c>
      <c r="L259" s="5" t="s">
        <v>309</v>
      </c>
      <c r="N259" s="45"/>
    </row>
    <row r="260" spans="2:16" x14ac:dyDescent="0.25">
      <c r="B260" s="5">
        <v>321</v>
      </c>
      <c r="C260" s="34">
        <v>45433</v>
      </c>
      <c r="D260" s="5" t="s">
        <v>836</v>
      </c>
      <c r="E260" s="36">
        <v>100</v>
      </c>
      <c r="F260" s="36">
        <f>E260-G260</f>
        <v>0</v>
      </c>
      <c r="G260" s="36">
        <v>100</v>
      </c>
      <c r="H260" s="34">
        <v>45433</v>
      </c>
      <c r="I260" s="34"/>
      <c r="J260" s="34"/>
      <c r="K260" s="5" t="s">
        <v>835</v>
      </c>
    </row>
    <row r="261" spans="2:16" x14ac:dyDescent="0.25">
      <c r="B261" s="5">
        <v>316</v>
      </c>
      <c r="C261" s="34">
        <v>45429</v>
      </c>
      <c r="D261" s="5" t="s">
        <v>300</v>
      </c>
      <c r="E261" s="36">
        <v>10</v>
      </c>
      <c r="F261" s="36">
        <f>E261-G261</f>
        <v>0</v>
      </c>
      <c r="G261" s="36">
        <v>10</v>
      </c>
      <c r="H261" s="34">
        <v>45436</v>
      </c>
      <c r="I261" s="34"/>
      <c r="J261" s="34"/>
      <c r="K261" s="5" t="s">
        <v>742</v>
      </c>
      <c r="L261" s="5" t="s">
        <v>298</v>
      </c>
    </row>
    <row r="262" spans="2:16" x14ac:dyDescent="0.25">
      <c r="B262" s="5">
        <v>306</v>
      </c>
      <c r="C262" s="34">
        <v>45426</v>
      </c>
      <c r="D262" s="5" t="s">
        <v>307</v>
      </c>
      <c r="E262" s="36">
        <v>707.57</v>
      </c>
      <c r="F262" s="36">
        <f>E262-G262</f>
        <v>0</v>
      </c>
      <c r="G262" s="36">
        <v>707.57</v>
      </c>
      <c r="H262" s="34">
        <v>45428</v>
      </c>
      <c r="I262" s="34"/>
      <c r="J262" s="34"/>
      <c r="K262" s="5" t="s">
        <v>810</v>
      </c>
      <c r="L262" s="5" t="s">
        <v>298</v>
      </c>
    </row>
    <row r="263" spans="2:16" x14ac:dyDescent="0.25">
      <c r="B263" s="5">
        <v>207</v>
      </c>
      <c r="C263" s="34">
        <v>45385</v>
      </c>
      <c r="D263" s="5" t="s">
        <v>623</v>
      </c>
      <c r="E263" s="36">
        <f>P263*O3</f>
        <v>3122.71</v>
      </c>
      <c r="F263" s="36">
        <f>E263-G263</f>
        <v>0</v>
      </c>
      <c r="G263" s="36">
        <v>3122.71</v>
      </c>
      <c r="H263" s="34">
        <v>45422</v>
      </c>
      <c r="I263" s="34"/>
      <c r="J263" s="34"/>
      <c r="K263" s="5" t="s">
        <v>525</v>
      </c>
      <c r="L263" s="5" t="s">
        <v>309</v>
      </c>
      <c r="M263" s="5" t="s">
        <v>308</v>
      </c>
      <c r="N263" s="5" t="s">
        <v>622</v>
      </c>
      <c r="P263" s="89">
        <v>2715.4</v>
      </c>
    </row>
    <row r="264" spans="2:16" x14ac:dyDescent="0.25">
      <c r="B264" s="5">
        <v>329</v>
      </c>
      <c r="C264" s="34">
        <v>45435</v>
      </c>
      <c r="D264" s="5" t="s">
        <v>307</v>
      </c>
      <c r="E264" s="36">
        <v>272.23</v>
      </c>
      <c r="F264" s="36">
        <f>E264-G264</f>
        <v>0</v>
      </c>
      <c r="G264" s="36">
        <v>272.23</v>
      </c>
      <c r="H264" s="34">
        <v>45436</v>
      </c>
      <c r="I264" s="34"/>
      <c r="J264" s="34"/>
      <c r="K264" s="5" t="s">
        <v>742</v>
      </c>
      <c r="L264" s="5" t="s">
        <v>298</v>
      </c>
    </row>
    <row r="265" spans="2:16" x14ac:dyDescent="0.25">
      <c r="B265" s="5">
        <v>322</v>
      </c>
      <c r="C265" s="34">
        <v>45434</v>
      </c>
      <c r="D265" s="5" t="s">
        <v>307</v>
      </c>
      <c r="E265" s="36">
        <v>41.71</v>
      </c>
      <c r="F265" s="36">
        <f>E265-G265</f>
        <v>0</v>
      </c>
      <c r="G265" s="36">
        <v>41.71</v>
      </c>
      <c r="H265" s="34">
        <v>45435</v>
      </c>
      <c r="I265" s="34"/>
      <c r="J265" s="34"/>
      <c r="K265" s="5" t="s">
        <v>834</v>
      </c>
      <c r="L265" s="5" t="s">
        <v>309</v>
      </c>
      <c r="M265" s="5" t="s">
        <v>308</v>
      </c>
    </row>
    <row r="266" spans="2:16" x14ac:dyDescent="0.25">
      <c r="B266" s="5">
        <v>291</v>
      </c>
      <c r="C266" s="34">
        <v>45422</v>
      </c>
      <c r="D266" s="5" t="s">
        <v>833</v>
      </c>
      <c r="E266" s="36">
        <v>260</v>
      </c>
      <c r="F266" s="36">
        <f>E266-G266</f>
        <v>0</v>
      </c>
      <c r="G266" s="36">
        <v>260</v>
      </c>
      <c r="H266" s="34">
        <v>45422</v>
      </c>
      <c r="I266" s="34"/>
      <c r="J266" s="34"/>
      <c r="K266" s="5" t="s">
        <v>832</v>
      </c>
      <c r="L266" s="5" t="s">
        <v>298</v>
      </c>
      <c r="N266" s="45"/>
    </row>
    <row r="267" spans="2:16" x14ac:dyDescent="0.25">
      <c r="B267" s="5">
        <v>299</v>
      </c>
      <c r="C267" s="34">
        <v>45422</v>
      </c>
      <c r="D267" s="5" t="s">
        <v>300</v>
      </c>
      <c r="E267" s="36">
        <v>187</v>
      </c>
      <c r="F267" s="36">
        <f>E267-G267</f>
        <v>0</v>
      </c>
      <c r="G267" s="36">
        <v>187</v>
      </c>
      <c r="H267" s="34">
        <v>45429</v>
      </c>
      <c r="I267" s="34"/>
      <c r="J267" s="34"/>
      <c r="K267" s="5" t="s">
        <v>821</v>
      </c>
      <c r="L267" s="5" t="s">
        <v>595</v>
      </c>
    </row>
    <row r="268" spans="2:16" x14ac:dyDescent="0.25">
      <c r="B268" s="5">
        <v>311</v>
      </c>
      <c r="C268" s="34">
        <v>45427</v>
      </c>
      <c r="D268" s="5" t="s">
        <v>300</v>
      </c>
      <c r="E268" s="36">
        <v>600</v>
      </c>
      <c r="F268" s="36">
        <f>E268-G268</f>
        <v>0</v>
      </c>
      <c r="G268" s="36">
        <v>600</v>
      </c>
      <c r="H268" s="34">
        <v>45434</v>
      </c>
      <c r="I268" s="34"/>
      <c r="J268" s="34"/>
      <c r="K268" s="5" t="s">
        <v>525</v>
      </c>
    </row>
    <row r="269" spans="2:16" x14ac:dyDescent="0.25">
      <c r="B269" s="5">
        <v>251</v>
      </c>
      <c r="C269" s="34">
        <v>45215</v>
      </c>
      <c r="D269" s="5" t="s">
        <v>804</v>
      </c>
      <c r="E269" s="36">
        <v>21620.571</v>
      </c>
      <c r="F269" s="36">
        <f>E269-G269</f>
        <v>0</v>
      </c>
      <c r="G269" s="36">
        <v>21620.571</v>
      </c>
      <c r="H269" s="34">
        <v>45427</v>
      </c>
      <c r="I269" s="34"/>
      <c r="J269" s="34"/>
      <c r="K269" s="5" t="s">
        <v>525</v>
      </c>
      <c r="L269" s="5" t="s">
        <v>309</v>
      </c>
      <c r="M269" s="5" t="s">
        <v>308</v>
      </c>
      <c r="N269" s="45"/>
    </row>
    <row r="270" spans="2:16" x14ac:dyDescent="0.25">
      <c r="B270" s="5">
        <v>296</v>
      </c>
      <c r="C270" s="34">
        <v>45422</v>
      </c>
      <c r="D270" s="5" t="s">
        <v>331</v>
      </c>
      <c r="E270" s="36">
        <v>658.27</v>
      </c>
      <c r="F270" s="36">
        <f>E270-G270</f>
        <v>0</v>
      </c>
      <c r="G270" s="36">
        <v>658.27</v>
      </c>
      <c r="H270" s="34">
        <v>45429</v>
      </c>
      <c r="I270" s="34"/>
      <c r="J270" s="34"/>
      <c r="K270" s="5" t="s">
        <v>821</v>
      </c>
      <c r="L270" s="5" t="s">
        <v>298</v>
      </c>
    </row>
    <row r="271" spans="2:16" x14ac:dyDescent="0.25">
      <c r="B271" s="5">
        <v>313</v>
      </c>
      <c r="C271" s="34">
        <v>45428</v>
      </c>
      <c r="D271" s="5" t="s">
        <v>331</v>
      </c>
      <c r="E271" s="36">
        <v>18.809999999999999</v>
      </c>
      <c r="F271" s="36">
        <f>E271-G271</f>
        <v>0</v>
      </c>
      <c r="G271" s="36">
        <v>18.809999999999999</v>
      </c>
      <c r="H271" s="34">
        <v>45434</v>
      </c>
      <c r="I271" s="34"/>
      <c r="J271" s="34"/>
      <c r="K271" s="5" t="s">
        <v>800</v>
      </c>
      <c r="L271" s="5" t="s">
        <v>298</v>
      </c>
    </row>
    <row r="272" spans="2:16" x14ac:dyDescent="0.25">
      <c r="B272" s="5">
        <v>328</v>
      </c>
      <c r="C272" s="34">
        <v>45435</v>
      </c>
      <c r="D272" s="5" t="s">
        <v>23</v>
      </c>
      <c r="E272" s="36">
        <v>128.69999999999999</v>
      </c>
      <c r="F272" s="36">
        <f>E272-G272</f>
        <v>0</v>
      </c>
      <c r="G272" s="36">
        <v>128.69999999999999</v>
      </c>
      <c r="H272" s="34">
        <v>45439</v>
      </c>
      <c r="I272" s="34"/>
      <c r="J272" s="34"/>
      <c r="K272" s="5" t="s">
        <v>525</v>
      </c>
      <c r="L272" s="5" t="s">
        <v>298</v>
      </c>
    </row>
    <row r="273" spans="2:14" x14ac:dyDescent="0.25">
      <c r="B273" s="5">
        <v>302</v>
      </c>
      <c r="C273" s="34">
        <v>45422</v>
      </c>
      <c r="D273" s="5" t="s">
        <v>831</v>
      </c>
      <c r="E273" s="36">
        <v>210</v>
      </c>
      <c r="F273" s="36">
        <f>E273-G273</f>
        <v>0</v>
      </c>
      <c r="G273" s="36">
        <v>210</v>
      </c>
      <c r="H273" s="34">
        <v>45441</v>
      </c>
      <c r="I273" s="34"/>
      <c r="J273" s="34"/>
      <c r="K273" s="5" t="s">
        <v>821</v>
      </c>
      <c r="L273" s="5" t="s">
        <v>309</v>
      </c>
      <c r="M273" s="5" t="s">
        <v>308</v>
      </c>
    </row>
    <row r="274" spans="2:14" x14ac:dyDescent="0.25">
      <c r="B274" s="5">
        <v>304</v>
      </c>
      <c r="C274" s="34">
        <v>45425</v>
      </c>
      <c r="D274" s="5" t="s">
        <v>307</v>
      </c>
      <c r="E274" s="36">
        <v>245.99</v>
      </c>
      <c r="F274" s="36">
        <f>E274-G274</f>
        <v>0</v>
      </c>
      <c r="G274" s="36">
        <v>245.99</v>
      </c>
      <c r="H274" s="34">
        <v>45427</v>
      </c>
      <c r="I274" s="34"/>
      <c r="J274" s="34"/>
      <c r="K274" s="5" t="s">
        <v>810</v>
      </c>
      <c r="L274" s="5" t="s">
        <v>298</v>
      </c>
    </row>
    <row r="275" spans="2:14" x14ac:dyDescent="0.25">
      <c r="B275" s="5">
        <v>331</v>
      </c>
      <c r="C275" s="34">
        <v>45439</v>
      </c>
      <c r="D275" s="5" t="s">
        <v>307</v>
      </c>
      <c r="E275" s="36">
        <v>4.2699999999999996</v>
      </c>
      <c r="F275" s="36">
        <f>E275-G275</f>
        <v>0</v>
      </c>
      <c r="G275" s="36">
        <v>4.2699999999999996</v>
      </c>
      <c r="H275" s="34">
        <v>45441</v>
      </c>
      <c r="I275" s="34"/>
      <c r="J275" s="34"/>
      <c r="K275" s="5" t="s">
        <v>598</v>
      </c>
      <c r="L275" s="5" t="s">
        <v>298</v>
      </c>
    </row>
    <row r="276" spans="2:14" x14ac:dyDescent="0.25">
      <c r="B276" s="5">
        <v>330</v>
      </c>
      <c r="C276" s="34">
        <v>45436</v>
      </c>
      <c r="D276" s="5" t="s">
        <v>756</v>
      </c>
      <c r="E276" s="36">
        <v>90.1</v>
      </c>
      <c r="F276" s="36">
        <f>E276-G276</f>
        <v>0</v>
      </c>
      <c r="G276" s="36">
        <v>90.1</v>
      </c>
      <c r="H276" s="34">
        <v>45440</v>
      </c>
      <c r="I276" s="34"/>
      <c r="J276" s="34"/>
      <c r="K276" s="5" t="s">
        <v>742</v>
      </c>
      <c r="L276" s="5" t="s">
        <v>309</v>
      </c>
      <c r="M276" s="5" t="s">
        <v>308</v>
      </c>
    </row>
    <row r="277" spans="2:14" x14ac:dyDescent="0.25">
      <c r="B277" s="5">
        <v>327</v>
      </c>
      <c r="C277" s="34">
        <v>45435</v>
      </c>
      <c r="D277" s="5" t="s">
        <v>370</v>
      </c>
      <c r="E277" s="36">
        <v>391.26</v>
      </c>
      <c r="F277" s="36">
        <f>E277-G277</f>
        <v>0</v>
      </c>
      <c r="G277" s="36">
        <v>391.26</v>
      </c>
      <c r="H277" s="34">
        <v>45442</v>
      </c>
      <c r="I277" s="34"/>
      <c r="J277" s="34"/>
      <c r="K277" s="5" t="s">
        <v>431</v>
      </c>
      <c r="L277" s="5" t="s">
        <v>298</v>
      </c>
    </row>
    <row r="278" spans="2:14" x14ac:dyDescent="0.25">
      <c r="B278" s="5">
        <v>267</v>
      </c>
      <c r="C278" s="34">
        <v>45411</v>
      </c>
      <c r="D278" s="5" t="s">
        <v>468</v>
      </c>
      <c r="E278" s="36">
        <v>4600</v>
      </c>
      <c r="F278" s="36">
        <f>E278-G278</f>
        <v>0</v>
      </c>
      <c r="G278" s="36">
        <v>4600</v>
      </c>
      <c r="H278" s="34">
        <v>45436</v>
      </c>
      <c r="I278" s="34"/>
      <c r="J278" s="34"/>
      <c r="K278" s="5" t="s">
        <v>830</v>
      </c>
      <c r="L278" s="5" t="s">
        <v>298</v>
      </c>
      <c r="N278" s="5"/>
    </row>
    <row r="279" spans="2:14" x14ac:dyDescent="0.25">
      <c r="B279" s="5">
        <v>242</v>
      </c>
      <c r="C279" s="34">
        <v>45397</v>
      </c>
      <c r="D279" s="5" t="s">
        <v>177</v>
      </c>
      <c r="E279" s="36">
        <v>112</v>
      </c>
      <c r="F279" s="36">
        <f>E279-G279</f>
        <v>0</v>
      </c>
      <c r="G279" s="36">
        <v>112</v>
      </c>
      <c r="H279" s="34">
        <v>45404</v>
      </c>
      <c r="I279" s="34"/>
      <c r="J279" s="34"/>
      <c r="K279" s="5" t="s">
        <v>829</v>
      </c>
      <c r="L279" s="5" t="s">
        <v>298</v>
      </c>
      <c r="N279" s="45"/>
    </row>
    <row r="280" spans="2:14" x14ac:dyDescent="0.25">
      <c r="B280" s="5">
        <v>341</v>
      </c>
      <c r="C280" s="34">
        <v>45442</v>
      </c>
      <c r="D280" s="5" t="s">
        <v>307</v>
      </c>
      <c r="E280" s="36">
        <v>3.73</v>
      </c>
      <c r="F280" s="36">
        <f>E280-G280</f>
        <v>0</v>
      </c>
      <c r="G280" s="36">
        <v>3.73</v>
      </c>
      <c r="H280" s="34">
        <v>45443</v>
      </c>
      <c r="I280" s="34"/>
      <c r="J280" s="34"/>
      <c r="K280" s="5" t="s">
        <v>828</v>
      </c>
      <c r="L280" s="5" t="s">
        <v>309</v>
      </c>
      <c r="M280" s="5" t="s">
        <v>308</v>
      </c>
    </row>
    <row r="281" spans="2:14" x14ac:dyDescent="0.25">
      <c r="B281" s="5">
        <v>337</v>
      </c>
      <c r="C281" s="34">
        <v>45440</v>
      </c>
      <c r="D281" s="5" t="s">
        <v>307</v>
      </c>
      <c r="E281" s="36">
        <v>13.39</v>
      </c>
      <c r="F281" s="36">
        <f>E281-G281</f>
        <v>0</v>
      </c>
      <c r="G281" s="36">
        <v>13.39</v>
      </c>
      <c r="H281" s="34">
        <v>45442</v>
      </c>
      <c r="I281" s="34"/>
      <c r="J281" s="34"/>
      <c r="K281" s="5" t="s">
        <v>828</v>
      </c>
      <c r="L281" s="5" t="s">
        <v>309</v>
      </c>
      <c r="M281" s="5" t="s">
        <v>308</v>
      </c>
    </row>
    <row r="282" spans="2:14" x14ac:dyDescent="0.25">
      <c r="B282" s="5">
        <v>344</v>
      </c>
      <c r="C282" s="34">
        <v>45443</v>
      </c>
      <c r="D282" s="5" t="s">
        <v>371</v>
      </c>
      <c r="E282" s="36">
        <v>2520</v>
      </c>
      <c r="F282" s="36">
        <f>E282-G282</f>
        <v>0</v>
      </c>
      <c r="G282" s="36">
        <v>2520</v>
      </c>
      <c r="H282" s="34">
        <v>45447</v>
      </c>
      <c r="I282" s="34"/>
      <c r="J282" s="34"/>
      <c r="K282" s="5" t="s">
        <v>788</v>
      </c>
      <c r="L282" s="5" t="s">
        <v>309</v>
      </c>
      <c r="M282" s="5" t="s">
        <v>308</v>
      </c>
      <c r="N282" s="5"/>
    </row>
    <row r="283" spans="2:14" x14ac:dyDescent="0.25">
      <c r="B283" s="5">
        <v>339</v>
      </c>
      <c r="C283" s="34">
        <v>45440</v>
      </c>
      <c r="D283" s="5" t="s">
        <v>23</v>
      </c>
      <c r="E283" s="36">
        <v>162.33000000000001</v>
      </c>
      <c r="F283" s="36">
        <f>E283-G283</f>
        <v>0</v>
      </c>
      <c r="G283" s="36">
        <v>162.33000000000001</v>
      </c>
      <c r="H283" s="34">
        <v>45443</v>
      </c>
      <c r="I283" s="34"/>
      <c r="J283" s="34"/>
      <c r="K283" s="5" t="s">
        <v>827</v>
      </c>
      <c r="L283" s="5" t="s">
        <v>309</v>
      </c>
      <c r="M283" s="5" t="s">
        <v>308</v>
      </c>
    </row>
    <row r="284" spans="2:14" x14ac:dyDescent="0.25">
      <c r="B284" s="5">
        <v>349</v>
      </c>
      <c r="C284" s="34">
        <v>45446</v>
      </c>
      <c r="D284" s="5" t="s">
        <v>307</v>
      </c>
      <c r="E284" s="36">
        <v>125.97</v>
      </c>
      <c r="F284" s="36">
        <f>E284-G284</f>
        <v>0</v>
      </c>
      <c r="G284" s="36">
        <v>125.97</v>
      </c>
      <c r="H284" s="34">
        <v>45447</v>
      </c>
      <c r="I284" s="34"/>
      <c r="J284" s="34"/>
      <c r="K284" s="5" t="s">
        <v>810</v>
      </c>
      <c r="L284" s="5" t="s">
        <v>298</v>
      </c>
    </row>
    <row r="285" spans="2:14" x14ac:dyDescent="0.25">
      <c r="B285" s="5">
        <v>312</v>
      </c>
      <c r="C285" s="34">
        <v>45428</v>
      </c>
      <c r="D285" s="5" t="s">
        <v>399</v>
      </c>
      <c r="E285" s="36">
        <v>1044</v>
      </c>
      <c r="F285" s="36">
        <f>E285-G285</f>
        <v>0</v>
      </c>
      <c r="G285" s="36">
        <v>1044</v>
      </c>
      <c r="H285" s="34">
        <v>45436</v>
      </c>
      <c r="I285" s="34"/>
      <c r="J285" s="34"/>
      <c r="K285" s="5" t="s">
        <v>810</v>
      </c>
      <c r="L285" s="5" t="s">
        <v>303</v>
      </c>
    </row>
    <row r="286" spans="2:14" x14ac:dyDescent="0.25">
      <c r="B286" s="5">
        <v>265</v>
      </c>
      <c r="C286" s="34">
        <v>45223</v>
      </c>
      <c r="D286" s="5" t="s">
        <v>466</v>
      </c>
      <c r="E286" s="36">
        <v>66556</v>
      </c>
      <c r="F286" s="36">
        <f>E286-G286</f>
        <v>0</v>
      </c>
      <c r="G286" s="36">
        <v>66556</v>
      </c>
      <c r="H286" s="34">
        <v>45415</v>
      </c>
      <c r="I286" s="34"/>
      <c r="J286" s="34"/>
      <c r="K286" s="5" t="s">
        <v>525</v>
      </c>
      <c r="L286" s="5" t="s">
        <v>303</v>
      </c>
      <c r="M286" s="5" t="s">
        <v>308</v>
      </c>
    </row>
    <row r="287" spans="2:14" x14ac:dyDescent="0.25">
      <c r="B287" s="5">
        <v>348</v>
      </c>
      <c r="C287" s="34">
        <v>45446</v>
      </c>
      <c r="D287" s="5" t="s">
        <v>300</v>
      </c>
      <c r="E287" s="36">
        <v>25</v>
      </c>
      <c r="F287" s="36">
        <f>E287-G287</f>
        <v>0</v>
      </c>
      <c r="G287" s="36">
        <v>25</v>
      </c>
      <c r="H287" s="34">
        <v>45449</v>
      </c>
      <c r="I287" s="34"/>
      <c r="J287" s="34"/>
      <c r="K287" s="5" t="s">
        <v>826</v>
      </c>
      <c r="L287" s="5" t="s">
        <v>309</v>
      </c>
      <c r="M287" s="5" t="s">
        <v>308</v>
      </c>
    </row>
    <row r="288" spans="2:14" x14ac:dyDescent="0.25">
      <c r="B288" s="5">
        <v>350</v>
      </c>
      <c r="C288" s="34">
        <v>45446</v>
      </c>
      <c r="D288" s="5" t="s">
        <v>300</v>
      </c>
      <c r="E288" s="36">
        <v>48</v>
      </c>
      <c r="F288" s="36">
        <f>E288-G288</f>
        <v>0</v>
      </c>
      <c r="G288" s="36">
        <v>48</v>
      </c>
      <c r="H288" s="34">
        <v>45449</v>
      </c>
      <c r="I288" s="34"/>
      <c r="J288" s="34"/>
      <c r="K288" s="5" t="s">
        <v>742</v>
      </c>
      <c r="L288" s="5" t="s">
        <v>309</v>
      </c>
      <c r="M288" s="5" t="s">
        <v>308</v>
      </c>
    </row>
    <row r="289" spans="2:14" x14ac:dyDescent="0.25">
      <c r="B289" s="5">
        <v>218</v>
      </c>
      <c r="C289" s="34">
        <v>45387</v>
      </c>
      <c r="D289" s="5" t="s">
        <v>23</v>
      </c>
      <c r="E289" s="36">
        <v>1199.3</v>
      </c>
      <c r="F289" s="36">
        <f>E289-G289</f>
        <v>0</v>
      </c>
      <c r="G289" s="36">
        <v>1199.3</v>
      </c>
      <c r="H289" s="34">
        <v>45453</v>
      </c>
      <c r="I289" s="34"/>
      <c r="J289" s="34"/>
      <c r="K289" s="5" t="s">
        <v>525</v>
      </c>
      <c r="L289" s="5" t="s">
        <v>309</v>
      </c>
      <c r="M289" s="5" t="s">
        <v>308</v>
      </c>
      <c r="N289" s="5"/>
    </row>
    <row r="290" spans="2:14" x14ac:dyDescent="0.25">
      <c r="B290" s="5">
        <v>334</v>
      </c>
      <c r="C290" s="34">
        <v>45439</v>
      </c>
      <c r="D290" s="5" t="s">
        <v>23</v>
      </c>
      <c r="E290" s="36">
        <v>410.86</v>
      </c>
      <c r="F290" s="36">
        <f>E290-G290</f>
        <v>0</v>
      </c>
      <c r="G290" s="36">
        <v>410.86</v>
      </c>
      <c r="H290" s="34">
        <v>45450</v>
      </c>
      <c r="I290" s="34"/>
      <c r="J290" s="34"/>
      <c r="K290" s="5" t="s">
        <v>525</v>
      </c>
      <c r="L290" s="5" t="s">
        <v>309</v>
      </c>
      <c r="M290" s="5" t="s">
        <v>308</v>
      </c>
    </row>
    <row r="291" spans="2:14" x14ac:dyDescent="0.25">
      <c r="B291" s="5">
        <v>351</v>
      </c>
      <c r="C291" s="34">
        <v>45447</v>
      </c>
      <c r="D291" s="5" t="s">
        <v>338</v>
      </c>
      <c r="E291" s="36">
        <v>1500</v>
      </c>
      <c r="F291" s="36">
        <f>E291-G291</f>
        <v>0</v>
      </c>
      <c r="G291" s="36">
        <v>1500</v>
      </c>
      <c r="H291" s="34">
        <v>45450</v>
      </c>
      <c r="I291" s="34"/>
      <c r="J291" s="34"/>
      <c r="K291" s="5" t="s">
        <v>525</v>
      </c>
      <c r="L291" s="5" t="s">
        <v>309</v>
      </c>
      <c r="M291" s="5" t="s">
        <v>308</v>
      </c>
    </row>
    <row r="292" spans="2:14" x14ac:dyDescent="0.25">
      <c r="B292" s="5">
        <v>270</v>
      </c>
      <c r="C292" s="34">
        <v>45414</v>
      </c>
      <c r="D292" s="5" t="s">
        <v>470</v>
      </c>
      <c r="E292" s="36">
        <v>2600</v>
      </c>
      <c r="F292" s="36">
        <f>E292-G292</f>
        <v>0</v>
      </c>
      <c r="G292" s="36">
        <v>2600</v>
      </c>
      <c r="H292" s="34">
        <v>45443</v>
      </c>
      <c r="I292" s="34"/>
      <c r="J292" s="34"/>
      <c r="K292" s="5" t="s">
        <v>825</v>
      </c>
      <c r="L292" s="5" t="s">
        <v>309</v>
      </c>
      <c r="M292" s="5" t="s">
        <v>822</v>
      </c>
      <c r="N292" s="5"/>
    </row>
    <row r="293" spans="2:14" x14ac:dyDescent="0.25">
      <c r="B293" s="5">
        <v>324</v>
      </c>
      <c r="C293" s="34">
        <v>45434</v>
      </c>
      <c r="D293" s="5" t="s">
        <v>307</v>
      </c>
      <c r="E293" s="36">
        <v>494.9</v>
      </c>
      <c r="F293" s="36">
        <f>E293-G293</f>
        <v>0</v>
      </c>
      <c r="G293" s="36">
        <v>494.9</v>
      </c>
      <c r="H293" s="34">
        <v>45436</v>
      </c>
      <c r="I293" s="34"/>
      <c r="J293" s="34"/>
      <c r="K293" s="5" t="s">
        <v>525</v>
      </c>
      <c r="L293" s="5" t="s">
        <v>298</v>
      </c>
      <c r="N293" s="5"/>
    </row>
    <row r="294" spans="2:14" x14ac:dyDescent="0.25">
      <c r="B294" s="5">
        <v>310</v>
      </c>
      <c r="C294" s="34">
        <v>45426</v>
      </c>
      <c r="D294" s="5" t="s">
        <v>775</v>
      </c>
      <c r="E294" s="36">
        <v>15</v>
      </c>
      <c r="F294" s="36">
        <f>E294-G294</f>
        <v>0</v>
      </c>
      <c r="G294" s="36">
        <v>15</v>
      </c>
      <c r="H294" s="34">
        <v>45427</v>
      </c>
      <c r="I294" s="34"/>
      <c r="J294" s="34"/>
      <c r="K294" s="5" t="s">
        <v>598</v>
      </c>
      <c r="L294" s="5" t="s">
        <v>298</v>
      </c>
      <c r="N294" s="45"/>
    </row>
    <row r="295" spans="2:14" x14ac:dyDescent="0.25">
      <c r="B295" s="5">
        <v>323</v>
      </c>
      <c r="C295" s="34">
        <v>45434</v>
      </c>
      <c r="D295" s="5" t="s">
        <v>775</v>
      </c>
      <c r="E295" s="36">
        <v>15</v>
      </c>
      <c r="F295" s="36">
        <f>E295-G295</f>
        <v>0</v>
      </c>
      <c r="G295" s="36">
        <v>15</v>
      </c>
      <c r="H295" s="34">
        <v>45434</v>
      </c>
      <c r="I295" s="34"/>
      <c r="J295" s="34"/>
      <c r="K295" s="5" t="s">
        <v>598</v>
      </c>
      <c r="L295" s="5" t="s">
        <v>298</v>
      </c>
      <c r="N295" s="45"/>
    </row>
    <row r="296" spans="2:14" x14ac:dyDescent="0.25">
      <c r="B296" s="5">
        <v>326</v>
      </c>
      <c r="C296" s="34">
        <v>45435</v>
      </c>
      <c r="D296" s="5" t="s">
        <v>190</v>
      </c>
      <c r="E296" s="33">
        <v>208</v>
      </c>
      <c r="F296" s="33">
        <f>E296-G296</f>
        <v>0</v>
      </c>
      <c r="G296" s="33">
        <v>208</v>
      </c>
      <c r="H296" s="34">
        <v>45464</v>
      </c>
      <c r="I296" s="34"/>
      <c r="J296" s="34"/>
      <c r="K296" s="5" t="s">
        <v>800</v>
      </c>
      <c r="L296" s="5" t="s">
        <v>298</v>
      </c>
    </row>
    <row r="297" spans="2:14" x14ac:dyDescent="0.25">
      <c r="B297" s="5">
        <v>357</v>
      </c>
      <c r="C297" s="34">
        <v>45448</v>
      </c>
      <c r="D297" s="5" t="s">
        <v>316</v>
      </c>
      <c r="E297" s="36">
        <v>90.86</v>
      </c>
      <c r="F297" s="36">
        <f>E297-G297</f>
        <v>0</v>
      </c>
      <c r="G297" s="36">
        <v>90.86</v>
      </c>
      <c r="H297" s="34">
        <v>45450</v>
      </c>
      <c r="I297" s="34"/>
      <c r="J297" s="34"/>
      <c r="K297" s="5" t="s">
        <v>824</v>
      </c>
      <c r="L297" s="5" t="s">
        <v>309</v>
      </c>
      <c r="M297" s="5" t="s">
        <v>308</v>
      </c>
      <c r="N297" s="5"/>
    </row>
    <row r="298" spans="2:14" x14ac:dyDescent="0.25">
      <c r="B298" s="5">
        <v>353</v>
      </c>
      <c r="C298" s="34">
        <v>45448</v>
      </c>
      <c r="D298" s="5" t="s">
        <v>307</v>
      </c>
      <c r="E298" s="36">
        <v>25.88</v>
      </c>
      <c r="F298" s="36">
        <f>E298-G298</f>
        <v>0</v>
      </c>
      <c r="G298" s="36">
        <v>25.88</v>
      </c>
      <c r="H298" s="34">
        <v>45449</v>
      </c>
      <c r="I298" s="34"/>
      <c r="J298" s="34"/>
      <c r="K298" s="5" t="s">
        <v>810</v>
      </c>
      <c r="L298" s="5" t="s">
        <v>309</v>
      </c>
      <c r="M298" s="5" t="s">
        <v>308</v>
      </c>
      <c r="N298" s="5"/>
    </row>
    <row r="299" spans="2:14" x14ac:dyDescent="0.25">
      <c r="B299" s="5">
        <v>168</v>
      </c>
      <c r="C299" s="34">
        <v>45369</v>
      </c>
      <c r="D299" s="5" t="s">
        <v>241</v>
      </c>
      <c r="E299" s="36">
        <v>2700</v>
      </c>
      <c r="F299" s="36">
        <f>E299-G299</f>
        <v>0</v>
      </c>
      <c r="G299" s="36">
        <v>2700</v>
      </c>
      <c r="H299" s="34">
        <v>45412</v>
      </c>
      <c r="I299" s="34"/>
      <c r="J299" s="34"/>
      <c r="K299" s="5" t="s">
        <v>823</v>
      </c>
      <c r="L299" s="5" t="s">
        <v>309</v>
      </c>
      <c r="M299" s="5" t="s">
        <v>822</v>
      </c>
      <c r="N299" s="45"/>
    </row>
    <row r="300" spans="2:14" x14ac:dyDescent="0.25">
      <c r="B300" s="5">
        <v>345</v>
      </c>
      <c r="C300" s="34">
        <v>45443</v>
      </c>
      <c r="D300" s="5" t="s">
        <v>175</v>
      </c>
      <c r="E300" s="36">
        <v>600</v>
      </c>
      <c r="F300" s="36">
        <f>E300-G300</f>
        <v>0</v>
      </c>
      <c r="G300" s="36">
        <v>600</v>
      </c>
      <c r="H300" s="34">
        <v>45443</v>
      </c>
      <c r="I300" s="34"/>
      <c r="J300" s="34"/>
      <c r="K300" s="5" t="s">
        <v>703</v>
      </c>
      <c r="L300" s="5" t="s">
        <v>298</v>
      </c>
      <c r="N300" s="45"/>
    </row>
    <row r="301" spans="2:14" x14ac:dyDescent="0.25">
      <c r="B301" s="5">
        <v>338</v>
      </c>
      <c r="C301" s="34">
        <v>45440</v>
      </c>
      <c r="D301" s="5" t="s">
        <v>307</v>
      </c>
      <c r="E301" s="36">
        <v>123.42</v>
      </c>
      <c r="F301" s="36">
        <f>E301-G301</f>
        <v>0</v>
      </c>
      <c r="G301" s="36">
        <v>123.42</v>
      </c>
      <c r="H301" s="34">
        <v>45457</v>
      </c>
      <c r="I301" s="34"/>
      <c r="J301" s="34"/>
      <c r="K301" s="5" t="s">
        <v>708</v>
      </c>
      <c r="L301" s="5" t="s">
        <v>309</v>
      </c>
      <c r="M301" s="5" t="s">
        <v>308</v>
      </c>
      <c r="N301" s="45"/>
    </row>
    <row r="302" spans="2:14" x14ac:dyDescent="0.25">
      <c r="B302" s="5">
        <v>355</v>
      </c>
      <c r="C302" s="34">
        <v>45448</v>
      </c>
      <c r="D302" s="5" t="s">
        <v>307</v>
      </c>
      <c r="E302" s="36">
        <v>69.430000000000007</v>
      </c>
      <c r="F302" s="36">
        <f>E302-G302</f>
        <v>0</v>
      </c>
      <c r="G302" s="36">
        <v>69.430000000000007</v>
      </c>
      <c r="H302" s="34">
        <v>45449</v>
      </c>
      <c r="I302" s="34"/>
      <c r="J302" s="34"/>
      <c r="K302" s="5" t="s">
        <v>800</v>
      </c>
      <c r="L302" s="5" t="s">
        <v>309</v>
      </c>
      <c r="M302" s="5" t="s">
        <v>308</v>
      </c>
      <c r="N302" s="5"/>
    </row>
    <row r="303" spans="2:14" x14ac:dyDescent="0.25">
      <c r="B303" s="5">
        <v>332</v>
      </c>
      <c r="C303" s="34">
        <v>45439</v>
      </c>
      <c r="D303" s="5" t="s">
        <v>420</v>
      </c>
      <c r="E303" s="36">
        <v>296</v>
      </c>
      <c r="F303" s="36">
        <f>E303-G303</f>
        <v>0</v>
      </c>
      <c r="G303" s="36">
        <v>296</v>
      </c>
      <c r="H303" s="34">
        <v>45450</v>
      </c>
      <c r="I303" s="34"/>
      <c r="J303" s="34"/>
      <c r="K303" s="5" t="s">
        <v>525</v>
      </c>
      <c r="L303" s="5" t="s">
        <v>298</v>
      </c>
      <c r="N303" s="5"/>
    </row>
    <row r="304" spans="2:14" x14ac:dyDescent="0.25">
      <c r="B304" s="5">
        <v>347</v>
      </c>
      <c r="C304" s="34">
        <v>45446</v>
      </c>
      <c r="D304" s="5" t="s">
        <v>23</v>
      </c>
      <c r="E304" s="36">
        <v>1007.38</v>
      </c>
      <c r="F304" s="36">
        <f>E304-G304</f>
        <v>0</v>
      </c>
      <c r="G304" s="36">
        <v>1007.38</v>
      </c>
      <c r="H304" s="34">
        <v>45449</v>
      </c>
      <c r="I304" s="34"/>
      <c r="J304" s="34"/>
      <c r="K304" s="5" t="s">
        <v>742</v>
      </c>
      <c r="L304" s="5" t="s">
        <v>298</v>
      </c>
      <c r="N304" s="5"/>
    </row>
    <row r="305" spans="2:14" x14ac:dyDescent="0.25">
      <c r="B305" s="5">
        <v>335</v>
      </c>
      <c r="C305" s="34">
        <v>45439</v>
      </c>
      <c r="D305" s="5" t="s">
        <v>23</v>
      </c>
      <c r="E305" s="36">
        <v>237.93</v>
      </c>
      <c r="F305" s="36">
        <f>E305-G305</f>
        <v>0</v>
      </c>
      <c r="G305" s="36">
        <v>237.93</v>
      </c>
      <c r="H305" s="34">
        <v>45450</v>
      </c>
      <c r="I305" s="34"/>
      <c r="J305" s="34"/>
      <c r="K305" s="5" t="s">
        <v>525</v>
      </c>
      <c r="L305" s="5" t="s">
        <v>309</v>
      </c>
      <c r="M305" s="5" t="s">
        <v>308</v>
      </c>
      <c r="N305" s="5"/>
    </row>
    <row r="306" spans="2:14" x14ac:dyDescent="0.25">
      <c r="B306" s="5">
        <v>360</v>
      </c>
      <c r="C306" s="34">
        <v>45450</v>
      </c>
      <c r="D306" s="5" t="s">
        <v>23</v>
      </c>
      <c r="E306" s="33">
        <v>53</v>
      </c>
      <c r="F306" s="33">
        <f>E306-G306</f>
        <v>0</v>
      </c>
      <c r="G306" s="33">
        <v>53</v>
      </c>
      <c r="H306" s="34">
        <v>45455</v>
      </c>
      <c r="I306" s="34"/>
      <c r="J306" s="34"/>
      <c r="K306" s="5" t="s">
        <v>810</v>
      </c>
      <c r="L306" s="5" t="s">
        <v>298</v>
      </c>
    </row>
    <row r="307" spans="2:14" x14ac:dyDescent="0.25">
      <c r="B307" s="5">
        <v>364</v>
      </c>
      <c r="C307" s="34">
        <v>45453</v>
      </c>
      <c r="D307" s="5" t="s">
        <v>307</v>
      </c>
      <c r="E307" s="33">
        <v>89.2</v>
      </c>
      <c r="F307" s="33">
        <f>E307-G307</f>
        <v>0</v>
      </c>
      <c r="G307" s="33">
        <v>89.2</v>
      </c>
      <c r="H307" s="34">
        <v>45454</v>
      </c>
      <c r="I307" s="34"/>
      <c r="J307" s="34"/>
      <c r="K307" s="5" t="s">
        <v>819</v>
      </c>
      <c r="L307" s="5" t="s">
        <v>298</v>
      </c>
    </row>
    <row r="308" spans="2:14" x14ac:dyDescent="0.25">
      <c r="B308" s="5">
        <v>166</v>
      </c>
      <c r="C308" s="34">
        <v>45365</v>
      </c>
      <c r="D308" s="5" t="s">
        <v>314</v>
      </c>
      <c r="E308" s="36">
        <v>16653.02</v>
      </c>
      <c r="F308" s="36">
        <f>E308-G308</f>
        <v>0</v>
      </c>
      <c r="G308" s="36">
        <v>16653.02</v>
      </c>
      <c r="H308" s="34">
        <v>45448</v>
      </c>
      <c r="I308" s="34"/>
      <c r="J308" s="34"/>
      <c r="K308" s="5" t="s">
        <v>525</v>
      </c>
      <c r="L308" s="5" t="s">
        <v>303</v>
      </c>
      <c r="M308" s="5" t="s">
        <v>308</v>
      </c>
      <c r="N308" s="45"/>
    </row>
    <row r="309" spans="2:14" x14ac:dyDescent="0.25">
      <c r="B309" s="5">
        <v>356</v>
      </c>
      <c r="C309" s="34">
        <v>45448</v>
      </c>
      <c r="D309" s="5" t="s">
        <v>589</v>
      </c>
      <c r="E309" s="36">
        <v>301.5</v>
      </c>
      <c r="F309" s="36">
        <f>E309-G309</f>
        <v>0</v>
      </c>
      <c r="G309" s="36">
        <v>301.5</v>
      </c>
      <c r="H309" s="34">
        <v>45457</v>
      </c>
      <c r="I309" s="34"/>
      <c r="J309" s="34"/>
      <c r="K309" s="5" t="s">
        <v>800</v>
      </c>
      <c r="L309" s="5" t="s">
        <v>309</v>
      </c>
      <c r="M309" s="5" t="s">
        <v>308</v>
      </c>
      <c r="N309" s="45"/>
    </row>
    <row r="310" spans="2:14" x14ac:dyDescent="0.25">
      <c r="B310" s="5">
        <v>366</v>
      </c>
      <c r="C310" s="34">
        <v>45454</v>
      </c>
      <c r="D310" s="5" t="s">
        <v>300</v>
      </c>
      <c r="E310" s="33">
        <v>277</v>
      </c>
      <c r="F310" s="33">
        <f>E310-G310</f>
        <v>0</v>
      </c>
      <c r="G310" s="33">
        <v>277</v>
      </c>
      <c r="H310" s="34">
        <v>45460</v>
      </c>
      <c r="I310" s="34"/>
      <c r="J310" s="34"/>
      <c r="K310" s="5" t="s">
        <v>821</v>
      </c>
      <c r="L310" s="5" t="s">
        <v>298</v>
      </c>
    </row>
    <row r="311" spans="2:14" x14ac:dyDescent="0.25">
      <c r="B311" s="5">
        <v>367</v>
      </c>
      <c r="C311" s="34">
        <v>45455</v>
      </c>
      <c r="D311" s="5" t="s">
        <v>23</v>
      </c>
      <c r="E311" s="33">
        <v>88.14</v>
      </c>
      <c r="F311" s="33">
        <f>E311-G311</f>
        <v>0</v>
      </c>
      <c r="G311" s="33">
        <v>88.14</v>
      </c>
      <c r="H311" s="34">
        <v>45457</v>
      </c>
      <c r="I311" s="34"/>
      <c r="J311" s="34"/>
      <c r="K311" s="5" t="s">
        <v>810</v>
      </c>
      <c r="L311" s="5" t="s">
        <v>298</v>
      </c>
    </row>
    <row r="312" spans="2:14" x14ac:dyDescent="0.25">
      <c r="B312" s="5">
        <v>255</v>
      </c>
      <c r="C312" s="34">
        <v>45401</v>
      </c>
      <c r="D312" s="5" t="s">
        <v>463</v>
      </c>
      <c r="E312" s="36">
        <v>9000</v>
      </c>
      <c r="F312" s="36">
        <f>E312-G312</f>
        <v>0</v>
      </c>
      <c r="G312" s="36">
        <v>9000</v>
      </c>
      <c r="H312" s="34">
        <v>45442</v>
      </c>
      <c r="I312" s="34"/>
      <c r="J312" s="34"/>
      <c r="K312" s="5" t="s">
        <v>820</v>
      </c>
      <c r="L312" s="5" t="s">
        <v>309</v>
      </c>
      <c r="M312" s="5" t="s">
        <v>308</v>
      </c>
      <c r="N312" s="45"/>
    </row>
    <row r="313" spans="2:14" x14ac:dyDescent="0.25">
      <c r="B313" s="5">
        <v>363</v>
      </c>
      <c r="C313" s="34">
        <v>45453</v>
      </c>
      <c r="D313" s="5" t="s">
        <v>300</v>
      </c>
      <c r="E313" s="33">
        <v>842.3</v>
      </c>
      <c r="F313" s="33">
        <f>E313-G313</f>
        <v>0</v>
      </c>
      <c r="G313" s="33">
        <v>842.3</v>
      </c>
      <c r="H313" s="34">
        <v>45460</v>
      </c>
      <c r="I313" s="34"/>
      <c r="J313" s="34"/>
      <c r="K313" s="5" t="s">
        <v>525</v>
      </c>
      <c r="N313" s="5"/>
    </row>
    <row r="314" spans="2:14" x14ac:dyDescent="0.25">
      <c r="B314" s="5">
        <v>362</v>
      </c>
      <c r="C314" s="34">
        <v>45450</v>
      </c>
      <c r="D314" s="5" t="s">
        <v>23</v>
      </c>
      <c r="E314" s="36">
        <v>64.650000000000006</v>
      </c>
      <c r="F314" s="36">
        <f>E314-G314</f>
        <v>0</v>
      </c>
      <c r="G314" s="36">
        <v>64.650000000000006</v>
      </c>
      <c r="H314" s="34">
        <v>45455</v>
      </c>
      <c r="I314" s="34"/>
      <c r="J314" s="34"/>
      <c r="K314" s="5" t="s">
        <v>598</v>
      </c>
      <c r="L314" s="5" t="s">
        <v>309</v>
      </c>
      <c r="M314" s="5" t="s">
        <v>308</v>
      </c>
      <c r="N314" s="5"/>
    </row>
    <row r="315" spans="2:14" x14ac:dyDescent="0.25">
      <c r="B315" s="5">
        <v>309</v>
      </c>
      <c r="C315" s="34">
        <v>45426</v>
      </c>
      <c r="D315" s="5" t="s">
        <v>23</v>
      </c>
      <c r="E315" s="36">
        <v>4514.34</v>
      </c>
      <c r="F315" s="36">
        <f>E315-G315</f>
        <v>0</v>
      </c>
      <c r="G315" s="36">
        <v>4514.34</v>
      </c>
      <c r="H315" s="34">
        <v>45432</v>
      </c>
      <c r="I315" s="34"/>
      <c r="J315" s="34"/>
      <c r="K315" s="5" t="s">
        <v>784</v>
      </c>
      <c r="L315" s="5" t="s">
        <v>303</v>
      </c>
      <c r="M315" s="5" t="s">
        <v>308</v>
      </c>
      <c r="N315" s="45"/>
    </row>
    <row r="316" spans="2:14" x14ac:dyDescent="0.25">
      <c r="B316" s="5">
        <v>372</v>
      </c>
      <c r="C316" s="34">
        <v>45456</v>
      </c>
      <c r="D316" s="5" t="s">
        <v>183</v>
      </c>
      <c r="E316" s="36">
        <v>74.94</v>
      </c>
      <c r="F316" s="36">
        <f>E316-G316</f>
        <v>0</v>
      </c>
      <c r="G316" s="36">
        <v>74.94</v>
      </c>
      <c r="H316" s="34">
        <v>45461</v>
      </c>
      <c r="I316" s="34"/>
      <c r="J316" s="34"/>
      <c r="K316" s="5" t="s">
        <v>819</v>
      </c>
      <c r="L316" s="5" t="s">
        <v>298</v>
      </c>
    </row>
    <row r="317" spans="2:14" x14ac:dyDescent="0.25">
      <c r="B317" s="5">
        <v>216</v>
      </c>
      <c r="C317" s="34">
        <v>45387</v>
      </c>
      <c r="D317" s="5" t="s">
        <v>787</v>
      </c>
      <c r="E317" s="36">
        <v>9911</v>
      </c>
      <c r="F317" s="36">
        <f>E317-G317</f>
        <v>0</v>
      </c>
      <c r="G317" s="36">
        <v>9911</v>
      </c>
      <c r="H317" s="34">
        <v>45412</v>
      </c>
      <c r="I317" s="34"/>
      <c r="J317" s="34"/>
      <c r="K317" s="5" t="s">
        <v>603</v>
      </c>
      <c r="L317" s="5" t="s">
        <v>298</v>
      </c>
      <c r="N317" s="45"/>
    </row>
    <row r="318" spans="2:14" x14ac:dyDescent="0.25">
      <c r="B318" s="5">
        <v>336</v>
      </c>
      <c r="C318" s="34">
        <v>45440</v>
      </c>
      <c r="D318" s="5" t="s">
        <v>139</v>
      </c>
      <c r="E318" s="36">
        <v>1250</v>
      </c>
      <c r="F318" s="36">
        <f>E318-G318</f>
        <v>0</v>
      </c>
      <c r="G318" s="36">
        <v>1250</v>
      </c>
      <c r="H318" s="34">
        <v>45457</v>
      </c>
      <c r="I318" s="34"/>
      <c r="J318" s="34"/>
      <c r="K318" s="5" t="s">
        <v>525</v>
      </c>
      <c r="L318" s="5" t="s">
        <v>298</v>
      </c>
      <c r="N318" s="45"/>
    </row>
    <row r="319" spans="2:14" x14ac:dyDescent="0.25">
      <c r="B319" s="5">
        <v>379</v>
      </c>
      <c r="C319" s="34">
        <v>45467</v>
      </c>
      <c r="D319" s="5" t="s">
        <v>793</v>
      </c>
      <c r="E319" s="36">
        <v>240</v>
      </c>
      <c r="F319" s="36">
        <f>E319-G319</f>
        <v>0</v>
      </c>
      <c r="G319" s="36">
        <v>240</v>
      </c>
      <c r="H319" s="34">
        <v>45467</v>
      </c>
      <c r="I319" s="34"/>
      <c r="J319" s="34"/>
      <c r="K319" s="5" t="s">
        <v>795</v>
      </c>
      <c r="L319" s="5" t="s">
        <v>298</v>
      </c>
    </row>
    <row r="320" spans="2:14" x14ac:dyDescent="0.25">
      <c r="B320" s="5">
        <v>343</v>
      </c>
      <c r="C320" s="34">
        <v>45446</v>
      </c>
      <c r="D320" s="5" t="s">
        <v>328</v>
      </c>
      <c r="E320" s="36">
        <v>177.57</v>
      </c>
      <c r="F320" s="36">
        <f>E320-G320</f>
        <v>0</v>
      </c>
      <c r="G320" s="36">
        <v>177.57</v>
      </c>
      <c r="H320" s="34">
        <v>45463</v>
      </c>
      <c r="I320" s="34"/>
      <c r="J320" s="34"/>
      <c r="K320" s="5" t="s">
        <v>810</v>
      </c>
      <c r="L320" s="5" t="s">
        <v>309</v>
      </c>
      <c r="M320" s="5" t="s">
        <v>308</v>
      </c>
      <c r="N320" s="45"/>
    </row>
    <row r="321" spans="2:14" x14ac:dyDescent="0.25">
      <c r="B321" s="5">
        <v>231</v>
      </c>
      <c r="C321" s="34">
        <v>45393</v>
      </c>
      <c r="D321" s="5" t="s">
        <v>818</v>
      </c>
      <c r="E321" s="36">
        <v>233.88</v>
      </c>
      <c r="F321" s="36">
        <f>E321-G321</f>
        <v>0</v>
      </c>
      <c r="G321" s="36">
        <v>233.88</v>
      </c>
      <c r="H321" s="34">
        <v>45397</v>
      </c>
      <c r="I321" s="34"/>
      <c r="J321" s="34"/>
      <c r="K321" s="5" t="s">
        <v>525</v>
      </c>
      <c r="L321" s="5" t="s">
        <v>303</v>
      </c>
      <c r="M321" s="5" t="s">
        <v>308</v>
      </c>
      <c r="N321" s="45"/>
    </row>
    <row r="322" spans="2:14" x14ac:dyDescent="0.25">
      <c r="B322" s="5">
        <v>375</v>
      </c>
      <c r="C322" s="34">
        <v>45467</v>
      </c>
      <c r="D322" s="5" t="s">
        <v>793</v>
      </c>
      <c r="E322" s="33">
        <v>270</v>
      </c>
      <c r="F322" s="33">
        <f>E322-G322</f>
        <v>0</v>
      </c>
      <c r="G322" s="33">
        <v>270</v>
      </c>
      <c r="H322" s="34">
        <v>45467</v>
      </c>
      <c r="I322" s="34"/>
      <c r="J322" s="34"/>
      <c r="K322" s="5" t="s">
        <v>817</v>
      </c>
      <c r="L322" s="5" t="s">
        <v>298</v>
      </c>
    </row>
    <row r="323" spans="2:14" x14ac:dyDescent="0.25">
      <c r="B323" s="5">
        <v>373</v>
      </c>
      <c r="C323" s="34">
        <v>45460</v>
      </c>
      <c r="D323" s="5" t="s">
        <v>420</v>
      </c>
      <c r="E323" s="33">
        <v>290</v>
      </c>
      <c r="F323" s="33">
        <f>E323-G323</f>
        <v>0</v>
      </c>
      <c r="G323" s="33">
        <v>290</v>
      </c>
      <c r="H323" s="34">
        <v>45471</v>
      </c>
      <c r="I323" s="34"/>
      <c r="J323" s="34"/>
      <c r="K323" s="5" t="s">
        <v>525</v>
      </c>
      <c r="L323" s="5" t="s">
        <v>298</v>
      </c>
    </row>
    <row r="324" spans="2:14" x14ac:dyDescent="0.25">
      <c r="B324" s="5">
        <v>374</v>
      </c>
      <c r="C324" s="34">
        <v>45464</v>
      </c>
      <c r="D324" s="5" t="s">
        <v>436</v>
      </c>
      <c r="E324" s="33">
        <v>146</v>
      </c>
      <c r="F324" s="33">
        <f>E324-G324</f>
        <v>0</v>
      </c>
      <c r="G324" s="33">
        <v>146</v>
      </c>
      <c r="H324" s="34">
        <v>45471</v>
      </c>
      <c r="I324" s="34"/>
      <c r="J324" s="34"/>
      <c r="K324" s="5" t="s">
        <v>742</v>
      </c>
      <c r="L324" s="5" t="s">
        <v>298</v>
      </c>
    </row>
    <row r="325" spans="2:14" x14ac:dyDescent="0.25">
      <c r="B325" s="5">
        <v>315</v>
      </c>
      <c r="C325" s="34">
        <v>45428</v>
      </c>
      <c r="D325" s="5" t="s">
        <v>417</v>
      </c>
      <c r="E325" s="36">
        <v>124</v>
      </c>
      <c r="F325" s="36">
        <f>E325-G325</f>
        <v>0</v>
      </c>
      <c r="G325" s="36">
        <v>124</v>
      </c>
      <c r="H325" s="34">
        <v>45443</v>
      </c>
      <c r="I325" s="34"/>
      <c r="J325" s="34"/>
      <c r="K325" s="5" t="s">
        <v>708</v>
      </c>
      <c r="L325" s="5" t="s">
        <v>298</v>
      </c>
      <c r="N325" s="45"/>
    </row>
    <row r="326" spans="2:14" x14ac:dyDescent="0.25">
      <c r="B326" s="5">
        <v>289</v>
      </c>
      <c r="C326" s="34">
        <v>45421</v>
      </c>
      <c r="D326" s="5" t="s">
        <v>799</v>
      </c>
      <c r="E326" s="36">
        <v>1958</v>
      </c>
      <c r="F326" s="36">
        <f>E326-G326</f>
        <v>0</v>
      </c>
      <c r="G326" s="36">
        <v>1958</v>
      </c>
      <c r="H326" s="34">
        <v>45463</v>
      </c>
      <c r="I326" s="34"/>
      <c r="J326" s="34"/>
      <c r="K326" s="5" t="s">
        <v>816</v>
      </c>
      <c r="L326" s="5" t="s">
        <v>298</v>
      </c>
      <c r="N326" s="45"/>
    </row>
    <row r="327" spans="2:14" x14ac:dyDescent="0.25">
      <c r="B327" s="5">
        <v>380</v>
      </c>
      <c r="C327" s="34">
        <v>45468</v>
      </c>
      <c r="D327" s="5" t="s">
        <v>573</v>
      </c>
      <c r="E327" s="33">
        <v>400.5</v>
      </c>
      <c r="F327" s="33">
        <f>E327-G327</f>
        <v>0</v>
      </c>
      <c r="G327" s="33">
        <v>400.5</v>
      </c>
      <c r="H327" s="34">
        <v>45471</v>
      </c>
      <c r="I327" s="34"/>
      <c r="J327" s="34"/>
      <c r="K327" s="5" t="s">
        <v>396</v>
      </c>
      <c r="L327" s="5" t="s">
        <v>298</v>
      </c>
    </row>
    <row r="328" spans="2:14" x14ac:dyDescent="0.25">
      <c r="B328" s="5">
        <v>130</v>
      </c>
      <c r="C328" s="34">
        <v>45352</v>
      </c>
      <c r="D328" s="5" t="s">
        <v>532</v>
      </c>
      <c r="E328" s="36">
        <v>9700</v>
      </c>
      <c r="F328" s="36">
        <f>E328-G328</f>
        <v>0</v>
      </c>
      <c r="G328" s="36">
        <v>9700</v>
      </c>
      <c r="H328" s="34">
        <v>45390</v>
      </c>
      <c r="I328" s="34"/>
      <c r="J328" s="34"/>
      <c r="K328" s="5" t="s">
        <v>788</v>
      </c>
      <c r="L328" s="5" t="s">
        <v>309</v>
      </c>
      <c r="N328" s="45"/>
    </row>
    <row r="329" spans="2:14" x14ac:dyDescent="0.25">
      <c r="B329" s="5">
        <v>352</v>
      </c>
      <c r="C329" s="34">
        <v>45448</v>
      </c>
      <c r="D329" s="5" t="s">
        <v>436</v>
      </c>
      <c r="E329" s="36">
        <v>320</v>
      </c>
      <c r="F329" s="36">
        <f>E329-G329</f>
        <v>0</v>
      </c>
      <c r="G329" s="36">
        <v>320</v>
      </c>
      <c r="H329" s="34">
        <v>45457</v>
      </c>
      <c r="I329" s="34"/>
      <c r="J329" s="34"/>
      <c r="K329" s="5" t="s">
        <v>807</v>
      </c>
      <c r="L329" s="5" t="s">
        <v>298</v>
      </c>
      <c r="N329" s="45"/>
    </row>
    <row r="330" spans="2:14" x14ac:dyDescent="0.25">
      <c r="B330" s="5">
        <v>317</v>
      </c>
      <c r="C330" s="34">
        <v>45432</v>
      </c>
      <c r="D330" s="5" t="s">
        <v>806</v>
      </c>
      <c r="E330" s="36">
        <v>200</v>
      </c>
      <c r="F330" s="36">
        <f>E330-G330</f>
        <v>0</v>
      </c>
      <c r="G330" s="36">
        <v>200</v>
      </c>
      <c r="H330" s="34">
        <v>45432</v>
      </c>
      <c r="I330" s="34"/>
      <c r="J330" s="34"/>
      <c r="K330" s="5" t="s">
        <v>815</v>
      </c>
      <c r="L330" s="5" t="s">
        <v>298</v>
      </c>
      <c r="N330" s="45"/>
    </row>
    <row r="331" spans="2:14" x14ac:dyDescent="0.25">
      <c r="B331" s="5">
        <v>333</v>
      </c>
      <c r="C331" s="34">
        <v>45439</v>
      </c>
      <c r="D331" s="5" t="s">
        <v>368</v>
      </c>
      <c r="E331" s="36">
        <v>94.75</v>
      </c>
      <c r="F331" s="36">
        <f>E331-G331</f>
        <v>0</v>
      </c>
      <c r="G331" s="36">
        <v>94.75</v>
      </c>
      <c r="H331" s="34">
        <v>45442</v>
      </c>
      <c r="I331" s="34"/>
      <c r="J331" s="34"/>
      <c r="K331" s="5" t="s">
        <v>708</v>
      </c>
      <c r="L331" s="5" t="s">
        <v>309</v>
      </c>
      <c r="M331" s="5" t="s">
        <v>308</v>
      </c>
      <c r="N331" s="45"/>
    </row>
    <row r="332" spans="2:14" x14ac:dyDescent="0.25">
      <c r="B332" s="5">
        <v>346</v>
      </c>
      <c r="C332" s="34">
        <v>45446</v>
      </c>
      <c r="D332" s="5" t="s">
        <v>470</v>
      </c>
      <c r="E332" s="36">
        <v>2400</v>
      </c>
      <c r="F332" s="36">
        <f>E332-G332</f>
        <v>0</v>
      </c>
      <c r="G332" s="36">
        <v>2400</v>
      </c>
      <c r="H332" s="34">
        <v>45473</v>
      </c>
      <c r="I332" s="34"/>
      <c r="J332" s="34"/>
      <c r="K332" s="5" t="s">
        <v>755</v>
      </c>
      <c r="L332" s="5" t="s">
        <v>309</v>
      </c>
      <c r="N332" s="5"/>
    </row>
    <row r="333" spans="2:14" x14ac:dyDescent="0.25">
      <c r="B333" s="5">
        <v>250</v>
      </c>
      <c r="C333" s="34">
        <v>45399</v>
      </c>
      <c r="D333" s="5" t="s">
        <v>814</v>
      </c>
      <c r="E333" s="36">
        <v>570</v>
      </c>
      <c r="F333" s="36">
        <f>E333-G333</f>
        <v>0</v>
      </c>
      <c r="G333" s="36">
        <v>570</v>
      </c>
      <c r="H333" s="34">
        <v>45432</v>
      </c>
      <c r="I333" s="34"/>
      <c r="J333" s="34"/>
      <c r="K333" s="5" t="s">
        <v>598</v>
      </c>
      <c r="L333" s="5" t="s">
        <v>303</v>
      </c>
      <c r="M333" s="5" t="s">
        <v>308</v>
      </c>
      <c r="N333" s="45"/>
    </row>
    <row r="334" spans="2:14" x14ac:dyDescent="0.25">
      <c r="B334" s="5">
        <v>206</v>
      </c>
      <c r="C334" s="34">
        <v>45384</v>
      </c>
      <c r="D334" s="5" t="s">
        <v>813</v>
      </c>
      <c r="E334" s="36">
        <v>500</v>
      </c>
      <c r="F334" s="36">
        <f>E334-G334</f>
        <v>0</v>
      </c>
      <c r="G334" s="36">
        <v>500</v>
      </c>
      <c r="H334" s="34">
        <v>45412</v>
      </c>
      <c r="I334" s="34"/>
      <c r="J334" s="34"/>
      <c r="K334" s="5" t="s">
        <v>812</v>
      </c>
      <c r="L334" s="5" t="s">
        <v>309</v>
      </c>
      <c r="N334" s="45"/>
    </row>
    <row r="335" spans="2:14" x14ac:dyDescent="0.25">
      <c r="B335" s="5">
        <v>261</v>
      </c>
      <c r="C335" s="34">
        <v>45404</v>
      </c>
      <c r="D335" s="5" t="s">
        <v>811</v>
      </c>
      <c r="E335" s="36">
        <v>13090</v>
      </c>
      <c r="F335" s="36">
        <f>E335-G335</f>
        <v>0</v>
      </c>
      <c r="G335" s="36">
        <v>13090</v>
      </c>
      <c r="H335" s="34">
        <v>45485</v>
      </c>
      <c r="I335" s="34"/>
      <c r="J335" s="34"/>
      <c r="K335" s="5" t="s">
        <v>525</v>
      </c>
      <c r="L335" s="5" t="s">
        <v>309</v>
      </c>
      <c r="M335" s="5" t="s">
        <v>308</v>
      </c>
      <c r="N335" s="5"/>
    </row>
    <row r="336" spans="2:14" x14ac:dyDescent="0.25">
      <c r="B336" s="5">
        <v>389</v>
      </c>
      <c r="C336" s="34">
        <v>45475</v>
      </c>
      <c r="D336" s="5" t="s">
        <v>172</v>
      </c>
      <c r="E336" s="36">
        <v>550</v>
      </c>
      <c r="F336" s="36">
        <f>E336-G336</f>
        <v>0</v>
      </c>
      <c r="G336" s="36">
        <v>550</v>
      </c>
      <c r="H336" s="34">
        <v>45478</v>
      </c>
      <c r="I336" s="34"/>
      <c r="J336" s="34"/>
      <c r="K336" s="5" t="s">
        <v>396</v>
      </c>
      <c r="L336" s="5" t="s">
        <v>298</v>
      </c>
    </row>
    <row r="337" spans="2:14" x14ac:dyDescent="0.25">
      <c r="B337" s="5">
        <v>325</v>
      </c>
      <c r="C337" s="34">
        <v>45435</v>
      </c>
      <c r="D337" s="5" t="s">
        <v>23</v>
      </c>
      <c r="E337" s="36">
        <v>334.18</v>
      </c>
      <c r="F337" s="36">
        <f>E337-G337</f>
        <v>0</v>
      </c>
      <c r="G337" s="36">
        <v>334.18</v>
      </c>
      <c r="H337" s="34">
        <v>45804</v>
      </c>
      <c r="I337" s="34"/>
      <c r="J337" s="34"/>
      <c r="K337" s="5" t="s">
        <v>810</v>
      </c>
      <c r="L337" s="5" t="s">
        <v>303</v>
      </c>
      <c r="M337" s="5" t="s">
        <v>308</v>
      </c>
      <c r="N337" s="45"/>
    </row>
    <row r="338" spans="2:14" x14ac:dyDescent="0.25">
      <c r="B338" s="5">
        <v>390</v>
      </c>
      <c r="C338" s="34">
        <v>45475</v>
      </c>
      <c r="D338" s="5" t="s">
        <v>300</v>
      </c>
      <c r="E338" s="36">
        <v>282</v>
      </c>
      <c r="F338" s="36">
        <f>E338-G338</f>
        <v>0</v>
      </c>
      <c r="G338" s="36">
        <v>282</v>
      </c>
      <c r="H338" s="34">
        <v>45482</v>
      </c>
      <c r="I338" s="34"/>
      <c r="J338" s="34"/>
      <c r="K338" s="5" t="s">
        <v>629</v>
      </c>
      <c r="L338" s="5" t="s">
        <v>298</v>
      </c>
    </row>
    <row r="339" spans="2:14" x14ac:dyDescent="0.25">
      <c r="B339" s="5">
        <v>385</v>
      </c>
      <c r="C339" s="34">
        <v>45474</v>
      </c>
      <c r="D339" s="5" t="s">
        <v>300</v>
      </c>
      <c r="E339" s="36">
        <v>468</v>
      </c>
      <c r="F339" s="36">
        <f>E339-G339</f>
        <v>0</v>
      </c>
      <c r="G339" s="36">
        <v>468</v>
      </c>
      <c r="H339" s="34">
        <v>45481</v>
      </c>
      <c r="I339" s="34"/>
      <c r="J339" s="34"/>
      <c r="K339" s="5" t="s">
        <v>809</v>
      </c>
      <c r="L339" s="5" t="s">
        <v>298</v>
      </c>
    </row>
    <row r="340" spans="2:14" x14ac:dyDescent="0.25">
      <c r="B340" s="5">
        <v>303</v>
      </c>
      <c r="C340" s="34">
        <v>45425</v>
      </c>
      <c r="D340" s="5" t="s">
        <v>808</v>
      </c>
      <c r="E340" s="36">
        <v>256.18</v>
      </c>
      <c r="F340" s="36">
        <f>E340-G340</f>
        <v>0</v>
      </c>
      <c r="G340" s="36">
        <v>256.18</v>
      </c>
      <c r="H340" s="34">
        <v>45436</v>
      </c>
      <c r="I340" s="34"/>
      <c r="J340" s="34"/>
      <c r="K340" s="5" t="s">
        <v>807</v>
      </c>
      <c r="L340" s="5" t="s">
        <v>309</v>
      </c>
      <c r="M340" s="5" t="s">
        <v>308</v>
      </c>
      <c r="N340" s="45"/>
    </row>
    <row r="341" spans="2:14" x14ac:dyDescent="0.25">
      <c r="B341" s="5">
        <v>240</v>
      </c>
      <c r="C341" s="34">
        <v>45397</v>
      </c>
      <c r="D341" s="5" t="s">
        <v>806</v>
      </c>
      <c r="E341" s="36">
        <v>700</v>
      </c>
      <c r="F341" s="36">
        <f>E341-G341</f>
        <v>0</v>
      </c>
      <c r="G341" s="36">
        <v>700</v>
      </c>
      <c r="H341" s="34">
        <v>45397</v>
      </c>
      <c r="I341" s="34"/>
      <c r="J341" s="34"/>
      <c r="K341" s="5" t="s">
        <v>805</v>
      </c>
      <c r="L341" s="5" t="s">
        <v>298</v>
      </c>
      <c r="N341" s="45"/>
    </row>
    <row r="342" spans="2:14" x14ac:dyDescent="0.25">
      <c r="B342" s="5">
        <v>381</v>
      </c>
      <c r="C342" s="34">
        <v>45469</v>
      </c>
      <c r="D342" s="5" t="s">
        <v>252</v>
      </c>
      <c r="E342" s="36">
        <v>796.42</v>
      </c>
      <c r="F342" s="36">
        <f>E342-G342</f>
        <v>0</v>
      </c>
      <c r="G342" s="36">
        <v>796.42</v>
      </c>
      <c r="H342" s="34">
        <v>45478</v>
      </c>
      <c r="I342" s="34"/>
      <c r="J342" s="34"/>
      <c r="K342" s="5" t="s">
        <v>505</v>
      </c>
      <c r="L342" s="5" t="s">
        <v>309</v>
      </c>
      <c r="M342" s="5" t="s">
        <v>308</v>
      </c>
      <c r="N342" s="45"/>
    </row>
    <row r="343" spans="2:14" x14ac:dyDescent="0.25">
      <c r="B343" s="5">
        <v>358</v>
      </c>
      <c r="C343" s="34">
        <v>45449</v>
      </c>
      <c r="D343" s="5" t="s">
        <v>243</v>
      </c>
      <c r="E343" s="36">
        <v>2233.5</v>
      </c>
      <c r="F343" s="36">
        <f>E343-G343</f>
        <v>0</v>
      </c>
      <c r="G343" s="36">
        <v>2233.5</v>
      </c>
      <c r="H343" s="34">
        <v>45457</v>
      </c>
      <c r="I343" s="34"/>
      <c r="J343" s="34"/>
      <c r="K343" s="5" t="s">
        <v>800</v>
      </c>
      <c r="L343" s="5" t="s">
        <v>303</v>
      </c>
      <c r="M343" s="5" t="s">
        <v>308</v>
      </c>
      <c r="N343" s="45"/>
    </row>
    <row r="344" spans="2:14" x14ac:dyDescent="0.25">
      <c r="B344" s="5">
        <v>387</v>
      </c>
      <c r="C344" s="34">
        <v>45474</v>
      </c>
      <c r="D344" s="5" t="s">
        <v>307</v>
      </c>
      <c r="E344" s="33">
        <v>224.85</v>
      </c>
      <c r="F344" s="33">
        <f>E344-G344</f>
        <v>0</v>
      </c>
      <c r="G344" s="33">
        <v>224.85</v>
      </c>
      <c r="H344" s="34">
        <v>45489</v>
      </c>
      <c r="I344" s="34"/>
      <c r="J344" s="34"/>
      <c r="K344" s="5" t="s">
        <v>505</v>
      </c>
      <c r="L344" s="5" t="s">
        <v>298</v>
      </c>
    </row>
    <row r="345" spans="2:14" x14ac:dyDescent="0.25">
      <c r="B345" s="5">
        <v>391</v>
      </c>
      <c r="C345" s="34">
        <v>45478</v>
      </c>
      <c r="D345" s="5" t="s">
        <v>307</v>
      </c>
      <c r="E345" s="33">
        <v>441.3</v>
      </c>
      <c r="F345" s="33">
        <f>E345-G345</f>
        <v>0</v>
      </c>
      <c r="G345" s="33">
        <v>441.3</v>
      </c>
      <c r="H345" s="34">
        <v>45482</v>
      </c>
      <c r="I345" s="34"/>
      <c r="J345" s="34"/>
      <c r="K345" s="5" t="s">
        <v>803</v>
      </c>
      <c r="L345" s="5" t="s">
        <v>298</v>
      </c>
    </row>
    <row r="346" spans="2:14" x14ac:dyDescent="0.25">
      <c r="B346" s="5">
        <v>365</v>
      </c>
      <c r="C346" s="34">
        <v>45453</v>
      </c>
      <c r="D346" s="5" t="s">
        <v>510</v>
      </c>
      <c r="E346" s="36">
        <v>1136</v>
      </c>
      <c r="F346" s="36">
        <f>E346-G346</f>
        <v>0</v>
      </c>
      <c r="G346" s="36">
        <v>1136</v>
      </c>
      <c r="H346" s="34">
        <v>45453</v>
      </c>
      <c r="I346" s="34"/>
      <c r="J346" s="34"/>
      <c r="K346" s="5" t="s">
        <v>720</v>
      </c>
      <c r="L346" s="5" t="s">
        <v>298</v>
      </c>
      <c r="N346" s="45"/>
    </row>
    <row r="347" spans="2:14" x14ac:dyDescent="0.25">
      <c r="B347" s="5">
        <v>397</v>
      </c>
      <c r="C347" s="34">
        <v>45482</v>
      </c>
      <c r="D347" s="5" t="s">
        <v>510</v>
      </c>
      <c r="E347" s="33">
        <v>3680</v>
      </c>
      <c r="F347" s="36">
        <f>E347-G347</f>
        <v>0</v>
      </c>
      <c r="G347" s="33">
        <v>3680</v>
      </c>
      <c r="H347" s="34">
        <v>45482</v>
      </c>
      <c r="I347" s="34"/>
      <c r="J347" s="34"/>
      <c r="K347" s="5" t="s">
        <v>720</v>
      </c>
      <c r="L347" s="5" t="s">
        <v>298</v>
      </c>
    </row>
    <row r="348" spans="2:14" x14ac:dyDescent="0.25">
      <c r="B348" s="5">
        <v>398</v>
      </c>
      <c r="C348" s="34">
        <v>45482</v>
      </c>
      <c r="D348" s="5" t="s">
        <v>307</v>
      </c>
      <c r="E348" s="33">
        <v>15.63</v>
      </c>
      <c r="F348" s="33">
        <f>E348-G348</f>
        <v>0</v>
      </c>
      <c r="G348" s="33">
        <v>15.63</v>
      </c>
      <c r="H348" s="34">
        <v>45483</v>
      </c>
      <c r="I348" s="34"/>
      <c r="J348" s="34"/>
      <c r="K348" s="5" t="s">
        <v>778</v>
      </c>
      <c r="L348" s="5" t="s">
        <v>298</v>
      </c>
    </row>
    <row r="349" spans="2:14" x14ac:dyDescent="0.25">
      <c r="B349" s="5">
        <v>395</v>
      </c>
      <c r="C349" s="34">
        <v>45481</v>
      </c>
      <c r="D349" s="5" t="s">
        <v>307</v>
      </c>
      <c r="E349" s="36">
        <v>285.27999999999997</v>
      </c>
      <c r="F349" s="36">
        <f>E349-G349</f>
        <v>0</v>
      </c>
      <c r="G349" s="36">
        <v>285.27999999999997</v>
      </c>
      <c r="H349" s="34">
        <v>45483</v>
      </c>
      <c r="I349" s="34"/>
      <c r="J349" s="34"/>
      <c r="K349" s="5" t="s">
        <v>505</v>
      </c>
      <c r="L349" s="5" t="s">
        <v>298</v>
      </c>
      <c r="N349" s="45"/>
    </row>
    <row r="350" spans="2:14" x14ac:dyDescent="0.25">
      <c r="B350" s="5">
        <v>177</v>
      </c>
      <c r="C350" s="34">
        <v>45371</v>
      </c>
      <c r="D350" s="5" t="s">
        <v>804</v>
      </c>
      <c r="E350" s="36">
        <v>5023.2</v>
      </c>
      <c r="F350" s="36">
        <f>E350-G350</f>
        <v>0</v>
      </c>
      <c r="G350" s="36">
        <v>5023.2</v>
      </c>
      <c r="H350" s="34">
        <v>45473</v>
      </c>
      <c r="I350" s="34"/>
      <c r="J350" s="34"/>
      <c r="K350" s="5" t="s">
        <v>525</v>
      </c>
      <c r="L350" s="5" t="s">
        <v>303</v>
      </c>
      <c r="M350" s="5" t="s">
        <v>308</v>
      </c>
      <c r="N350" s="45"/>
    </row>
    <row r="351" spans="2:14" x14ac:dyDescent="0.25">
      <c r="B351" s="5">
        <v>402</v>
      </c>
      <c r="C351" s="34">
        <v>45483</v>
      </c>
      <c r="D351" s="5" t="s">
        <v>307</v>
      </c>
      <c r="E351" s="36">
        <v>39.75</v>
      </c>
      <c r="F351" s="36">
        <f>E351-G351</f>
        <v>0</v>
      </c>
      <c r="G351" s="36">
        <v>39.75</v>
      </c>
      <c r="H351" s="34">
        <v>45485</v>
      </c>
      <c r="I351" s="34"/>
      <c r="J351" s="34"/>
      <c r="K351" s="5" t="s">
        <v>800</v>
      </c>
      <c r="L351" s="5" t="s">
        <v>309</v>
      </c>
      <c r="M351" s="5" t="s">
        <v>308</v>
      </c>
      <c r="N351" s="45"/>
    </row>
    <row r="352" spans="2:14" x14ac:dyDescent="0.25">
      <c r="B352" s="5">
        <v>392</v>
      </c>
      <c r="C352" s="34">
        <v>45478</v>
      </c>
      <c r="D352" s="5" t="s">
        <v>23</v>
      </c>
      <c r="E352" s="36">
        <v>1674.06</v>
      </c>
      <c r="F352" s="36">
        <f>E352-G352</f>
        <v>0</v>
      </c>
      <c r="G352" s="36">
        <v>1674.06</v>
      </c>
      <c r="H352" s="34">
        <v>45483</v>
      </c>
      <c r="I352" s="34"/>
      <c r="J352" s="34"/>
      <c r="K352" s="5" t="s">
        <v>803</v>
      </c>
      <c r="L352" s="5" t="s">
        <v>309</v>
      </c>
      <c r="N352" s="45"/>
    </row>
    <row r="353" spans="2:15" x14ac:dyDescent="0.25">
      <c r="B353" s="5">
        <v>378</v>
      </c>
      <c r="C353" s="34">
        <v>45467</v>
      </c>
      <c r="D353" s="5" t="s">
        <v>173</v>
      </c>
      <c r="E353" s="33">
        <v>1423.2</v>
      </c>
      <c r="F353" s="33">
        <f>E353-G353</f>
        <v>0</v>
      </c>
      <c r="G353" s="33">
        <v>1423.2</v>
      </c>
      <c r="H353" s="34">
        <v>45488</v>
      </c>
      <c r="I353" s="34"/>
      <c r="J353" s="34"/>
      <c r="K353" s="5" t="s">
        <v>365</v>
      </c>
      <c r="L353" s="5" t="s">
        <v>298</v>
      </c>
    </row>
    <row r="354" spans="2:15" x14ac:dyDescent="0.25">
      <c r="B354" s="5">
        <v>393</v>
      </c>
      <c r="C354" s="34">
        <v>45478</v>
      </c>
      <c r="D354" s="5" t="s">
        <v>300</v>
      </c>
      <c r="E354" s="33">
        <v>52</v>
      </c>
      <c r="F354" s="33">
        <f>E354-G354</f>
        <v>0</v>
      </c>
      <c r="G354" s="33">
        <v>52</v>
      </c>
      <c r="H354" s="34">
        <v>45485</v>
      </c>
      <c r="I354" s="34"/>
      <c r="J354" s="34"/>
      <c r="K354" s="5" t="s">
        <v>742</v>
      </c>
    </row>
    <row r="355" spans="2:15" x14ac:dyDescent="0.25">
      <c r="B355" s="5">
        <v>403</v>
      </c>
      <c r="C355" s="34">
        <v>45483</v>
      </c>
      <c r="D355" s="5" t="s">
        <v>300</v>
      </c>
      <c r="E355" s="33">
        <v>30</v>
      </c>
      <c r="F355" s="33">
        <f>E355-G355</f>
        <v>0</v>
      </c>
      <c r="G355" s="33">
        <v>30</v>
      </c>
      <c r="H355" s="34">
        <v>45490</v>
      </c>
      <c r="I355" s="34"/>
      <c r="J355" s="34"/>
      <c r="K355" s="5" t="s">
        <v>778</v>
      </c>
    </row>
    <row r="356" spans="2:15" x14ac:dyDescent="0.25">
      <c r="B356" s="5">
        <v>406</v>
      </c>
      <c r="C356" s="34">
        <v>45484</v>
      </c>
      <c r="D356" s="5" t="s">
        <v>300</v>
      </c>
      <c r="E356" s="33">
        <v>20</v>
      </c>
      <c r="F356" s="33">
        <f>E356-G356</f>
        <v>0</v>
      </c>
      <c r="G356" s="33">
        <v>20</v>
      </c>
      <c r="H356" s="34">
        <v>45491</v>
      </c>
      <c r="I356" s="34"/>
      <c r="J356" s="34"/>
      <c r="K356" s="5" t="s">
        <v>778</v>
      </c>
    </row>
    <row r="357" spans="2:15" x14ac:dyDescent="0.25">
      <c r="B357" s="5">
        <v>407</v>
      </c>
      <c r="C357" s="34">
        <v>45484</v>
      </c>
      <c r="D357" s="5" t="s">
        <v>300</v>
      </c>
      <c r="E357" s="33">
        <v>20</v>
      </c>
      <c r="F357" s="33">
        <f>E357-G357</f>
        <v>0</v>
      </c>
      <c r="G357" s="33">
        <v>20</v>
      </c>
      <c r="H357" s="34">
        <v>45491</v>
      </c>
      <c r="I357" s="34"/>
      <c r="J357" s="34"/>
      <c r="K357" s="5" t="s">
        <v>802</v>
      </c>
    </row>
    <row r="358" spans="2:15" x14ac:dyDescent="0.25">
      <c r="B358" s="5">
        <v>388</v>
      </c>
      <c r="C358" s="34">
        <v>45475</v>
      </c>
      <c r="D358" s="5" t="s">
        <v>801</v>
      </c>
      <c r="E358" s="33">
        <v>87.92</v>
      </c>
      <c r="F358" s="33">
        <f>E358-G358</f>
        <v>0</v>
      </c>
      <c r="G358" s="33">
        <v>87.92</v>
      </c>
      <c r="H358" s="34">
        <v>45483</v>
      </c>
      <c r="I358" s="34"/>
      <c r="J358" s="34"/>
      <c r="K358" s="5" t="s">
        <v>800</v>
      </c>
      <c r="L358" s="5" t="s">
        <v>298</v>
      </c>
    </row>
    <row r="359" spans="2:15" x14ac:dyDescent="0.25">
      <c r="B359" s="5">
        <v>410</v>
      </c>
      <c r="C359" s="34">
        <v>45485</v>
      </c>
      <c r="D359" s="5" t="s">
        <v>307</v>
      </c>
      <c r="E359" s="33">
        <v>106.26</v>
      </c>
      <c r="F359" s="33">
        <f>E359-G359</f>
        <v>0</v>
      </c>
      <c r="G359" s="33">
        <v>106.26</v>
      </c>
      <c r="H359" s="34">
        <v>45490</v>
      </c>
      <c r="I359" s="34"/>
      <c r="J359" s="34"/>
      <c r="K359" s="5" t="s">
        <v>505</v>
      </c>
      <c r="L359" s="5" t="s">
        <v>298</v>
      </c>
    </row>
    <row r="360" spans="2:15" x14ac:dyDescent="0.25">
      <c r="B360" s="5">
        <v>320</v>
      </c>
      <c r="C360" s="34">
        <v>45432</v>
      </c>
      <c r="D360" s="5" t="s">
        <v>799</v>
      </c>
      <c r="E360" s="36">
        <v>7682.71</v>
      </c>
      <c r="F360" s="36">
        <f>E360-G360</f>
        <v>0</v>
      </c>
      <c r="G360" s="36">
        <v>7682.71</v>
      </c>
      <c r="H360" s="34">
        <v>45483</v>
      </c>
      <c r="I360" s="34"/>
      <c r="J360" s="34"/>
      <c r="K360" s="5" t="s">
        <v>798</v>
      </c>
      <c r="L360" s="5" t="s">
        <v>309</v>
      </c>
      <c r="M360" s="5" t="s">
        <v>308</v>
      </c>
    </row>
    <row r="361" spans="2:15" x14ac:dyDescent="0.25">
      <c r="B361" s="5">
        <v>417</v>
      </c>
      <c r="C361" s="34">
        <v>45489</v>
      </c>
      <c r="D361" s="5" t="s">
        <v>307</v>
      </c>
      <c r="E361" s="33">
        <v>70.7</v>
      </c>
      <c r="F361" s="33">
        <f>E361-G361</f>
        <v>0</v>
      </c>
      <c r="G361" s="33">
        <v>70.7</v>
      </c>
      <c r="H361" s="34">
        <v>45491</v>
      </c>
      <c r="I361" s="34"/>
      <c r="J361" s="34"/>
      <c r="K361" s="5" t="s">
        <v>505</v>
      </c>
      <c r="L361" s="5" t="s">
        <v>298</v>
      </c>
    </row>
    <row r="362" spans="2:15" x14ac:dyDescent="0.25">
      <c r="B362" s="5">
        <v>412</v>
      </c>
      <c r="C362" s="34">
        <v>45488</v>
      </c>
      <c r="D362" s="5" t="s">
        <v>602</v>
      </c>
      <c r="E362" s="33">
        <v>232.51</v>
      </c>
      <c r="F362" s="33">
        <f>E362-G362</f>
        <v>0</v>
      </c>
      <c r="G362" s="33">
        <v>232.51</v>
      </c>
      <c r="H362" s="34">
        <v>45492</v>
      </c>
      <c r="I362" s="34"/>
      <c r="J362" s="34"/>
      <c r="K362" s="5" t="s">
        <v>785</v>
      </c>
      <c r="L362" s="5" t="s">
        <v>298</v>
      </c>
    </row>
    <row r="363" spans="2:15" x14ac:dyDescent="0.25">
      <c r="B363" s="5">
        <v>422</v>
      </c>
      <c r="C363" s="34">
        <v>45490</v>
      </c>
      <c r="D363" s="5" t="s">
        <v>307</v>
      </c>
      <c r="E363" s="33">
        <v>28.48</v>
      </c>
      <c r="F363" s="33">
        <f>E363-G363</f>
        <v>0</v>
      </c>
      <c r="G363" s="33">
        <v>28.48</v>
      </c>
      <c r="H363" s="34">
        <v>45492</v>
      </c>
      <c r="I363" s="34"/>
      <c r="J363" s="34"/>
      <c r="K363" s="5" t="s">
        <v>797</v>
      </c>
      <c r="L363" s="5" t="s">
        <v>298</v>
      </c>
    </row>
    <row r="364" spans="2:15" x14ac:dyDescent="0.25">
      <c r="B364" s="5">
        <v>418</v>
      </c>
      <c r="C364" s="34">
        <v>45489</v>
      </c>
      <c r="D364" s="5" t="s">
        <v>436</v>
      </c>
      <c r="E364" s="33">
        <v>200</v>
      </c>
      <c r="F364" s="33">
        <f>E364-G364</f>
        <v>0</v>
      </c>
      <c r="G364" s="33">
        <v>200</v>
      </c>
      <c r="H364" s="34">
        <v>45496</v>
      </c>
      <c r="I364" s="34"/>
      <c r="J364" s="34"/>
      <c r="K364" s="5" t="s">
        <v>525</v>
      </c>
      <c r="L364" s="5" t="s">
        <v>298</v>
      </c>
    </row>
    <row r="365" spans="2:15" x14ac:dyDescent="0.25">
      <c r="B365" s="5">
        <v>394</v>
      </c>
      <c r="C365" s="34">
        <v>45478</v>
      </c>
      <c r="D365" s="5" t="s">
        <v>436</v>
      </c>
      <c r="E365" s="33">
        <v>722</v>
      </c>
      <c r="F365" s="33">
        <f>E365-G365</f>
        <v>0</v>
      </c>
      <c r="G365" s="33">
        <v>722</v>
      </c>
      <c r="H365" s="34">
        <v>45485</v>
      </c>
      <c r="I365" s="34"/>
      <c r="J365" s="34"/>
      <c r="K365" s="5" t="s">
        <v>525</v>
      </c>
    </row>
    <row r="366" spans="2:15" x14ac:dyDescent="0.25">
      <c r="B366" s="5">
        <v>410</v>
      </c>
      <c r="C366" s="34">
        <v>45485</v>
      </c>
      <c r="D366" s="5" t="s">
        <v>307</v>
      </c>
      <c r="E366" s="36">
        <v>106.26</v>
      </c>
      <c r="F366" s="36">
        <f>E366-G366</f>
        <v>0</v>
      </c>
      <c r="G366" s="36">
        <v>106.26</v>
      </c>
      <c r="H366" s="34">
        <v>45490</v>
      </c>
      <c r="I366" s="34"/>
      <c r="J366" s="34"/>
      <c r="K366" s="5" t="s">
        <v>505</v>
      </c>
      <c r="L366" s="5" t="s">
        <v>309</v>
      </c>
      <c r="M366" s="5" t="s">
        <v>308</v>
      </c>
      <c r="N366" s="45"/>
    </row>
    <row r="367" spans="2:15" x14ac:dyDescent="0.25">
      <c r="B367" s="5">
        <v>421</v>
      </c>
      <c r="C367" s="34">
        <v>45490</v>
      </c>
      <c r="D367" s="5" t="s">
        <v>375</v>
      </c>
      <c r="E367" s="33">
        <v>62.72</v>
      </c>
      <c r="F367" s="33">
        <f>E367-G367</f>
        <v>0</v>
      </c>
      <c r="G367" s="33">
        <v>62.72</v>
      </c>
      <c r="H367" s="34">
        <v>45492</v>
      </c>
      <c r="I367" s="34"/>
      <c r="J367" s="34"/>
      <c r="K367" s="5" t="s">
        <v>441</v>
      </c>
      <c r="L367" s="5" t="s">
        <v>298</v>
      </c>
    </row>
    <row r="368" spans="2:15" x14ac:dyDescent="0.25">
      <c r="B368" s="5">
        <v>229</v>
      </c>
      <c r="C368" s="34">
        <v>45391</v>
      </c>
      <c r="D368" s="5" t="s">
        <v>392</v>
      </c>
      <c r="E368" s="33">
        <f>O368*O2</f>
        <v>580.32000000000005</v>
      </c>
      <c r="F368" s="33">
        <f>E368-G368</f>
        <v>0</v>
      </c>
      <c r="G368" s="33">
        <v>580.32000000000005</v>
      </c>
      <c r="H368" s="34">
        <v>45503</v>
      </c>
      <c r="I368" s="34"/>
      <c r="J368" s="34"/>
      <c r="K368" s="5" t="s">
        <v>525</v>
      </c>
      <c r="L368" s="5" t="s">
        <v>298</v>
      </c>
      <c r="N368" s="5" t="s">
        <v>391</v>
      </c>
      <c r="O368" s="5">
        <v>624</v>
      </c>
    </row>
    <row r="369" spans="2:14" x14ac:dyDescent="0.25">
      <c r="B369" s="5">
        <v>401</v>
      </c>
      <c r="C369" s="34">
        <v>45482</v>
      </c>
      <c r="D369" s="5" t="s">
        <v>796</v>
      </c>
      <c r="E369" s="36">
        <v>81</v>
      </c>
      <c r="F369" s="36">
        <f>E369-G369</f>
        <v>0</v>
      </c>
      <c r="G369" s="36">
        <v>81</v>
      </c>
      <c r="H369" s="34">
        <v>45489</v>
      </c>
      <c r="I369" s="34"/>
      <c r="J369" s="34"/>
      <c r="K369" s="5" t="s">
        <v>505</v>
      </c>
      <c r="L369" s="5" t="s">
        <v>298</v>
      </c>
    </row>
    <row r="370" spans="2:14" x14ac:dyDescent="0.25">
      <c r="B370" s="5">
        <v>286</v>
      </c>
      <c r="C370" s="34">
        <v>45421</v>
      </c>
      <c r="D370" s="5" t="s">
        <v>702</v>
      </c>
      <c r="E370" s="36">
        <v>6378.3</v>
      </c>
      <c r="F370" s="36">
        <f>E370-G370</f>
        <v>0</v>
      </c>
      <c r="G370" s="36">
        <v>6378.3</v>
      </c>
      <c r="H370" s="34">
        <v>45473</v>
      </c>
      <c r="I370" s="34"/>
      <c r="J370" s="34"/>
      <c r="K370" s="5" t="s">
        <v>603</v>
      </c>
      <c r="L370" s="5" t="s">
        <v>298</v>
      </c>
    </row>
    <row r="371" spans="2:14" x14ac:dyDescent="0.25">
      <c r="B371" s="5">
        <v>376</v>
      </c>
      <c r="C371" s="34">
        <v>45467</v>
      </c>
      <c r="D371" s="5" t="s">
        <v>793</v>
      </c>
      <c r="E371" s="36">
        <v>3720</v>
      </c>
      <c r="F371" s="36">
        <f>E371-G371</f>
        <v>0</v>
      </c>
      <c r="G371" s="36">
        <v>3720</v>
      </c>
      <c r="H371" s="34">
        <v>45467</v>
      </c>
      <c r="I371" s="34"/>
      <c r="J371" s="34"/>
      <c r="K371" s="5" t="s">
        <v>795</v>
      </c>
      <c r="L371" s="5" t="s">
        <v>303</v>
      </c>
    </row>
    <row r="372" spans="2:14" x14ac:dyDescent="0.25">
      <c r="B372" s="5">
        <v>424</v>
      </c>
      <c r="C372" s="34">
        <v>45491</v>
      </c>
      <c r="D372" s="5" t="s">
        <v>793</v>
      </c>
      <c r="E372" s="33">
        <v>910</v>
      </c>
      <c r="F372" s="33">
        <f>E372-G372</f>
        <v>0</v>
      </c>
      <c r="G372" s="33">
        <v>910</v>
      </c>
      <c r="H372" s="34">
        <v>45499</v>
      </c>
      <c r="I372" s="34"/>
      <c r="J372" s="34"/>
      <c r="K372" s="5" t="s">
        <v>794</v>
      </c>
      <c r="L372" s="5" t="s">
        <v>298</v>
      </c>
    </row>
    <row r="373" spans="2:14" x14ac:dyDescent="0.25">
      <c r="B373" s="5">
        <v>288</v>
      </c>
      <c r="C373" s="34">
        <v>45421</v>
      </c>
      <c r="D373" s="5" t="s">
        <v>793</v>
      </c>
      <c r="E373" s="36">
        <v>320</v>
      </c>
      <c r="F373" s="36">
        <f>E373-G373</f>
        <v>0</v>
      </c>
      <c r="G373" s="36">
        <v>320</v>
      </c>
      <c r="H373" s="34">
        <v>45473</v>
      </c>
      <c r="I373" s="34"/>
      <c r="J373" s="34"/>
      <c r="K373" s="5" t="s">
        <v>792</v>
      </c>
      <c r="L373" s="5" t="s">
        <v>298</v>
      </c>
    </row>
    <row r="374" spans="2:14" x14ac:dyDescent="0.25">
      <c r="B374" s="5">
        <v>430</v>
      </c>
      <c r="C374" s="34">
        <v>45496</v>
      </c>
      <c r="D374" s="5" t="s">
        <v>307</v>
      </c>
      <c r="E374" s="33">
        <v>34.92</v>
      </c>
      <c r="F374" s="33">
        <f>E374-G374</f>
        <v>0</v>
      </c>
      <c r="G374" s="33">
        <v>34.92</v>
      </c>
      <c r="H374" s="34">
        <v>45502</v>
      </c>
      <c r="I374" s="34"/>
      <c r="J374" s="34"/>
      <c r="K374" s="5" t="s">
        <v>778</v>
      </c>
      <c r="L374" s="5" t="s">
        <v>298</v>
      </c>
    </row>
    <row r="375" spans="2:14" x14ac:dyDescent="0.25">
      <c r="B375" s="5">
        <v>115</v>
      </c>
      <c r="C375" s="34">
        <v>45348</v>
      </c>
      <c r="D375" s="5" t="s">
        <v>23</v>
      </c>
      <c r="E375" s="36">
        <v>18851.07</v>
      </c>
      <c r="F375" s="36">
        <f>E375-G375</f>
        <v>0</v>
      </c>
      <c r="G375" s="36">
        <v>18851.07</v>
      </c>
      <c r="H375" s="34">
        <v>45380</v>
      </c>
      <c r="I375" s="34"/>
      <c r="J375" s="34"/>
      <c r="K375" s="5" t="s">
        <v>525</v>
      </c>
      <c r="L375" s="5" t="s">
        <v>303</v>
      </c>
      <c r="M375" s="5" t="s">
        <v>308</v>
      </c>
      <c r="N375" s="45"/>
    </row>
    <row r="376" spans="2:14" x14ac:dyDescent="0.25">
      <c r="B376" s="5">
        <v>435</v>
      </c>
      <c r="C376" s="34">
        <v>45498</v>
      </c>
      <c r="D376" s="5" t="s">
        <v>436</v>
      </c>
      <c r="E376" s="33">
        <v>15</v>
      </c>
      <c r="F376" s="33">
        <f>E376-G376</f>
        <v>0</v>
      </c>
      <c r="G376" s="33">
        <v>15</v>
      </c>
      <c r="H376" s="34">
        <v>45502</v>
      </c>
      <c r="I376" s="34"/>
      <c r="J376" s="34"/>
      <c r="K376" s="5" t="s">
        <v>778</v>
      </c>
      <c r="L376" s="5" t="s">
        <v>298</v>
      </c>
    </row>
    <row r="377" spans="2:14" x14ac:dyDescent="0.25">
      <c r="B377" s="5">
        <v>404</v>
      </c>
      <c r="C377" s="34">
        <v>45484</v>
      </c>
      <c r="D377" s="5" t="s">
        <v>436</v>
      </c>
      <c r="E377" s="36">
        <v>2000</v>
      </c>
      <c r="F377" s="36">
        <f>E377-G377</f>
        <v>0</v>
      </c>
      <c r="G377" s="36">
        <v>2000</v>
      </c>
      <c r="H377" s="34">
        <v>45492</v>
      </c>
      <c r="I377" s="34"/>
      <c r="J377" s="34"/>
      <c r="K377" s="5" t="s">
        <v>791</v>
      </c>
      <c r="L377" s="5" t="s">
        <v>298</v>
      </c>
    </row>
    <row r="378" spans="2:14" x14ac:dyDescent="0.25">
      <c r="B378" s="5">
        <v>220</v>
      </c>
      <c r="C378" s="34">
        <v>45387</v>
      </c>
      <c r="D378" s="5" t="s">
        <v>466</v>
      </c>
      <c r="E378" s="36">
        <v>9630</v>
      </c>
      <c r="F378" s="36">
        <f>E378-G378</f>
        <v>0</v>
      </c>
      <c r="G378" s="36">
        <v>9630</v>
      </c>
      <c r="H378" s="34">
        <v>45488</v>
      </c>
      <c r="I378" s="34"/>
      <c r="J378" s="34"/>
      <c r="K378" s="5" t="s">
        <v>525</v>
      </c>
      <c r="L378" s="5" t="s">
        <v>303</v>
      </c>
      <c r="M378" s="5" t="s">
        <v>308</v>
      </c>
    </row>
    <row r="379" spans="2:14" x14ac:dyDescent="0.25">
      <c r="B379" s="5">
        <v>393</v>
      </c>
      <c r="C379" s="34">
        <v>45271</v>
      </c>
      <c r="D379" s="5" t="s">
        <v>189</v>
      </c>
      <c r="E379" s="36">
        <v>22200</v>
      </c>
      <c r="F379" s="36">
        <f>E379-G379</f>
        <v>0</v>
      </c>
      <c r="G379" s="36">
        <v>22200</v>
      </c>
      <c r="H379" s="34">
        <v>45282</v>
      </c>
      <c r="I379" s="34"/>
      <c r="J379" s="34"/>
      <c r="K379" s="5" t="s">
        <v>790</v>
      </c>
      <c r="L379" s="5" t="s">
        <v>309</v>
      </c>
      <c r="M379" s="5" t="s">
        <v>308</v>
      </c>
    </row>
    <row r="380" spans="2:14" x14ac:dyDescent="0.25">
      <c r="B380" s="5">
        <v>442</v>
      </c>
      <c r="C380" s="34">
        <v>45503</v>
      </c>
      <c r="D380" s="5" t="s">
        <v>307</v>
      </c>
      <c r="E380" s="33">
        <v>33.450000000000003</v>
      </c>
      <c r="F380" s="33">
        <f>E380-G380</f>
        <v>0</v>
      </c>
      <c r="G380" s="33">
        <v>33.450000000000003</v>
      </c>
      <c r="H380" s="34">
        <v>45505</v>
      </c>
      <c r="I380" s="34"/>
      <c r="J380" s="34"/>
      <c r="K380" s="5" t="s">
        <v>543</v>
      </c>
      <c r="L380" s="5" t="s">
        <v>298</v>
      </c>
    </row>
    <row r="381" spans="2:14" x14ac:dyDescent="0.25">
      <c r="B381" s="5">
        <v>400</v>
      </c>
      <c r="C381" s="34">
        <v>45482</v>
      </c>
      <c r="D381" s="5" t="s">
        <v>789</v>
      </c>
      <c r="E381" s="33">
        <v>2820</v>
      </c>
      <c r="F381" s="33">
        <f>E381-G381</f>
        <v>0</v>
      </c>
      <c r="G381" s="33">
        <v>2820</v>
      </c>
      <c r="H381" s="34">
        <v>45499</v>
      </c>
      <c r="I381" s="34"/>
      <c r="J381" s="34"/>
      <c r="K381" s="5" t="s">
        <v>737</v>
      </c>
      <c r="L381" s="5" t="s">
        <v>298</v>
      </c>
    </row>
    <row r="382" spans="2:14" x14ac:dyDescent="0.25">
      <c r="B382" s="5">
        <v>384</v>
      </c>
      <c r="C382" s="34">
        <v>45474</v>
      </c>
      <c r="D382" s="5" t="s">
        <v>470</v>
      </c>
      <c r="E382" s="36">
        <v>2800</v>
      </c>
      <c r="F382" s="36">
        <f>E382-G382</f>
        <v>0</v>
      </c>
      <c r="G382" s="36">
        <v>2800</v>
      </c>
      <c r="H382" s="34">
        <v>45504</v>
      </c>
      <c r="I382" s="34"/>
      <c r="J382" s="34"/>
      <c r="K382" s="5" t="s">
        <v>755</v>
      </c>
      <c r="L382" s="5" t="s">
        <v>309</v>
      </c>
      <c r="N382" s="45"/>
    </row>
    <row r="383" spans="2:14" x14ac:dyDescent="0.25">
      <c r="B383" s="5">
        <v>428</v>
      </c>
      <c r="C383" s="34">
        <v>45496</v>
      </c>
      <c r="D383" s="5" t="s">
        <v>321</v>
      </c>
      <c r="E383" s="33">
        <v>1352.74</v>
      </c>
      <c r="F383" s="33">
        <f>E383-G383</f>
        <v>0</v>
      </c>
      <c r="G383" s="33">
        <v>1352.74</v>
      </c>
      <c r="H383" s="34">
        <v>45502</v>
      </c>
      <c r="I383" s="34"/>
      <c r="J383" s="34"/>
      <c r="K383" s="5" t="s">
        <v>769</v>
      </c>
      <c r="L383" s="5" t="s">
        <v>298</v>
      </c>
    </row>
    <row r="384" spans="2:14" x14ac:dyDescent="0.25">
      <c r="B384" s="5">
        <v>399</v>
      </c>
      <c r="C384" s="34">
        <v>45482</v>
      </c>
      <c r="D384" s="5" t="s">
        <v>510</v>
      </c>
      <c r="E384" s="36">
        <v>2000</v>
      </c>
      <c r="F384" s="36">
        <f>E384-G384</f>
        <v>0</v>
      </c>
      <c r="G384" s="36">
        <v>2000</v>
      </c>
      <c r="H384" s="34">
        <v>45493</v>
      </c>
      <c r="I384" s="34"/>
      <c r="J384" s="34"/>
      <c r="K384" s="5" t="s">
        <v>342</v>
      </c>
      <c r="L384" s="5" t="s">
        <v>298</v>
      </c>
    </row>
    <row r="385" spans="2:14" x14ac:dyDescent="0.25">
      <c r="B385" s="5">
        <v>397</v>
      </c>
      <c r="C385" s="34">
        <v>45482</v>
      </c>
      <c r="D385" s="5" t="s">
        <v>510</v>
      </c>
      <c r="E385" s="36">
        <v>3680</v>
      </c>
      <c r="F385" s="36">
        <f>E385-G385</f>
        <v>0</v>
      </c>
      <c r="G385" s="36">
        <v>3680</v>
      </c>
      <c r="H385" s="34">
        <v>45482</v>
      </c>
      <c r="I385" s="34"/>
      <c r="J385" s="34"/>
      <c r="K385" s="5" t="s">
        <v>720</v>
      </c>
      <c r="L385" s="5" t="s">
        <v>298</v>
      </c>
      <c r="N385" s="45"/>
    </row>
    <row r="386" spans="2:14" x14ac:dyDescent="0.25">
      <c r="B386" s="5">
        <v>449</v>
      </c>
      <c r="C386" s="34">
        <v>45505</v>
      </c>
      <c r="D386" s="5" t="s">
        <v>182</v>
      </c>
      <c r="E386" s="33">
        <v>446</v>
      </c>
      <c r="F386" s="36">
        <f>E386-G386</f>
        <v>0</v>
      </c>
      <c r="G386" s="36">
        <v>446</v>
      </c>
      <c r="H386" s="34">
        <v>45505</v>
      </c>
      <c r="I386" s="34"/>
      <c r="J386" s="34"/>
      <c r="K386" s="5" t="s">
        <v>396</v>
      </c>
      <c r="L386" s="5" t="s">
        <v>298</v>
      </c>
    </row>
    <row r="387" spans="2:14" x14ac:dyDescent="0.25">
      <c r="B387" s="5">
        <v>354</v>
      </c>
      <c r="C387" s="34">
        <v>45448</v>
      </c>
      <c r="D387" s="5" t="s">
        <v>182</v>
      </c>
      <c r="E387" s="36">
        <v>1525</v>
      </c>
      <c r="F387" s="36">
        <f>E387-G387</f>
        <v>0</v>
      </c>
      <c r="G387" s="36">
        <v>1525</v>
      </c>
      <c r="H387" s="34">
        <v>45473</v>
      </c>
      <c r="I387" s="34"/>
      <c r="J387" s="34"/>
      <c r="K387" s="5" t="s">
        <v>396</v>
      </c>
      <c r="L387" s="5" t="s">
        <v>298</v>
      </c>
      <c r="N387" s="45"/>
    </row>
    <row r="388" spans="2:14" x14ac:dyDescent="0.25">
      <c r="B388" s="5">
        <v>442</v>
      </c>
      <c r="C388" s="34">
        <v>45503</v>
      </c>
      <c r="D388" s="5" t="s">
        <v>307</v>
      </c>
      <c r="E388" s="36">
        <v>33.450000000000003</v>
      </c>
      <c r="F388" s="36">
        <f>E388-G388</f>
        <v>0</v>
      </c>
      <c r="G388" s="36">
        <v>33.450000000000003</v>
      </c>
      <c r="H388" s="34">
        <v>45505</v>
      </c>
      <c r="I388" s="34"/>
      <c r="J388" s="34"/>
      <c r="K388" s="5" t="s">
        <v>543</v>
      </c>
      <c r="L388" s="5" t="s">
        <v>298</v>
      </c>
    </row>
    <row r="389" spans="2:14" x14ac:dyDescent="0.25">
      <c r="B389" s="5">
        <v>441</v>
      </c>
      <c r="C389" s="34">
        <v>45503</v>
      </c>
      <c r="D389" s="5" t="s">
        <v>23</v>
      </c>
      <c r="E389" s="36">
        <v>195.15</v>
      </c>
      <c r="F389" s="36">
        <f>E389-G389</f>
        <v>0</v>
      </c>
      <c r="G389" s="36">
        <v>195.15</v>
      </c>
      <c r="H389" s="34">
        <v>45506</v>
      </c>
      <c r="I389" s="34"/>
      <c r="J389" s="34"/>
      <c r="K389" s="5" t="s">
        <v>543</v>
      </c>
      <c r="L389" s="5" t="s">
        <v>298</v>
      </c>
    </row>
    <row r="390" spans="2:14" x14ac:dyDescent="0.25">
      <c r="B390" s="5">
        <v>439</v>
      </c>
      <c r="C390" s="34">
        <v>45499</v>
      </c>
      <c r="D390" s="5" t="s">
        <v>321</v>
      </c>
      <c r="E390" s="36">
        <v>192.52</v>
      </c>
      <c r="F390" s="36">
        <f>E390-G390</f>
        <v>0</v>
      </c>
      <c r="G390" s="36">
        <v>192.52</v>
      </c>
      <c r="H390" s="34">
        <v>45506</v>
      </c>
      <c r="I390" s="34"/>
      <c r="J390" s="34"/>
      <c r="K390" s="5" t="s">
        <v>598</v>
      </c>
      <c r="L390" s="5" t="s">
        <v>298</v>
      </c>
    </row>
    <row r="391" spans="2:14" x14ac:dyDescent="0.25">
      <c r="B391" s="5">
        <v>431</v>
      </c>
      <c r="C391" s="34">
        <v>45497</v>
      </c>
      <c r="D391" s="5" t="s">
        <v>370</v>
      </c>
      <c r="E391" s="36">
        <v>652.88</v>
      </c>
      <c r="F391" s="36">
        <f>E391-G391</f>
        <v>0</v>
      </c>
      <c r="G391" s="36">
        <v>652.88</v>
      </c>
      <c r="H391" s="34">
        <v>45504</v>
      </c>
      <c r="I391" s="34"/>
      <c r="J391" s="34"/>
      <c r="K391" s="5" t="s">
        <v>431</v>
      </c>
      <c r="L391" s="5" t="s">
        <v>298</v>
      </c>
    </row>
    <row r="392" spans="2:14" x14ac:dyDescent="0.25">
      <c r="B392" s="5">
        <v>429</v>
      </c>
      <c r="C392" s="34">
        <v>45503</v>
      </c>
      <c r="D392" s="5" t="s">
        <v>23</v>
      </c>
      <c r="E392" s="36">
        <v>212</v>
      </c>
      <c r="F392" s="36">
        <f>E392-G392</f>
        <v>0</v>
      </c>
      <c r="G392" s="36">
        <v>212</v>
      </c>
      <c r="H392" s="34">
        <v>45507</v>
      </c>
      <c r="I392" s="34"/>
      <c r="J392" s="34"/>
      <c r="K392" s="5" t="s">
        <v>769</v>
      </c>
      <c r="L392" s="5" t="s">
        <v>298</v>
      </c>
    </row>
    <row r="393" spans="2:14" x14ac:dyDescent="0.25">
      <c r="B393" s="5">
        <v>444</v>
      </c>
      <c r="C393" s="34">
        <v>45506</v>
      </c>
      <c r="D393" s="5" t="s">
        <v>300</v>
      </c>
      <c r="E393" s="36">
        <v>88</v>
      </c>
      <c r="F393" s="36">
        <f>E393-G393</f>
        <v>0</v>
      </c>
      <c r="G393" s="36">
        <v>88</v>
      </c>
      <c r="H393" s="34">
        <v>45506</v>
      </c>
      <c r="I393" s="34"/>
      <c r="J393" s="34"/>
      <c r="K393" s="5" t="s">
        <v>525</v>
      </c>
      <c r="L393" s="5" t="s">
        <v>298</v>
      </c>
    </row>
    <row r="394" spans="2:14" x14ac:dyDescent="0.25">
      <c r="B394" s="5">
        <v>188</v>
      </c>
      <c r="C394" s="34">
        <v>45373</v>
      </c>
      <c r="D394" s="5" t="s">
        <v>335</v>
      </c>
      <c r="E394" s="36">
        <v>6250</v>
      </c>
      <c r="F394" s="36">
        <f>E394-G394</f>
        <v>0</v>
      </c>
      <c r="G394" s="36">
        <v>6250</v>
      </c>
      <c r="H394" s="34">
        <v>45392</v>
      </c>
      <c r="I394" s="34"/>
      <c r="J394" s="34"/>
      <c r="K394" s="5" t="s">
        <v>788</v>
      </c>
      <c r="L394" s="5" t="s">
        <v>303</v>
      </c>
      <c r="M394" s="5" t="s">
        <v>308</v>
      </c>
      <c r="N394" s="45"/>
    </row>
    <row r="395" spans="2:14" x14ac:dyDescent="0.25">
      <c r="B395" s="5">
        <v>452</v>
      </c>
      <c r="C395" s="34">
        <v>45506</v>
      </c>
      <c r="D395" s="5" t="s">
        <v>510</v>
      </c>
      <c r="E395" s="36">
        <v>2420</v>
      </c>
      <c r="F395" s="36">
        <f>E395-G395</f>
        <v>0</v>
      </c>
      <c r="G395" s="36">
        <v>2420</v>
      </c>
      <c r="H395" s="34">
        <v>45506</v>
      </c>
      <c r="I395" s="34"/>
      <c r="J395" s="34"/>
      <c r="K395" s="5" t="s">
        <v>720</v>
      </c>
      <c r="L395" s="5" t="s">
        <v>298</v>
      </c>
    </row>
    <row r="396" spans="2:14" x14ac:dyDescent="0.25">
      <c r="B396" s="5">
        <v>453</v>
      </c>
      <c r="C396" s="34">
        <v>45510</v>
      </c>
      <c r="D396" s="5" t="s">
        <v>426</v>
      </c>
      <c r="E396" s="36">
        <v>350</v>
      </c>
      <c r="F396" s="36">
        <f>E396-G396</f>
        <v>0</v>
      </c>
      <c r="G396" s="36">
        <v>350</v>
      </c>
      <c r="H396" s="34">
        <v>45510</v>
      </c>
      <c r="I396" s="34"/>
      <c r="J396" s="34"/>
      <c r="K396" s="5" t="s">
        <v>396</v>
      </c>
      <c r="L396" s="5" t="s">
        <v>298</v>
      </c>
    </row>
    <row r="397" spans="2:14" x14ac:dyDescent="0.25">
      <c r="B397" s="5">
        <v>369</v>
      </c>
      <c r="C397" s="34">
        <v>45455</v>
      </c>
      <c r="D397" s="5" t="s">
        <v>426</v>
      </c>
      <c r="E397" s="36">
        <v>2360</v>
      </c>
      <c r="F397" s="36">
        <f>E397-G397</f>
        <v>0</v>
      </c>
      <c r="G397" s="36">
        <v>2360</v>
      </c>
      <c r="H397" s="34">
        <v>45504</v>
      </c>
      <c r="I397" s="34"/>
      <c r="J397" s="34"/>
      <c r="K397" s="5" t="s">
        <v>603</v>
      </c>
      <c r="L397" s="5" t="s">
        <v>298</v>
      </c>
      <c r="N397" s="45"/>
    </row>
    <row r="398" spans="2:14" x14ac:dyDescent="0.25">
      <c r="B398" s="5">
        <v>371</v>
      </c>
      <c r="C398" s="34">
        <v>45455</v>
      </c>
      <c r="D398" s="5" t="s">
        <v>426</v>
      </c>
      <c r="E398" s="36">
        <v>1260</v>
      </c>
      <c r="F398" s="36">
        <f>E398-G398</f>
        <v>0</v>
      </c>
      <c r="G398" s="36">
        <v>1260</v>
      </c>
      <c r="H398" s="34">
        <v>45504</v>
      </c>
      <c r="I398" s="34"/>
      <c r="J398" s="34"/>
      <c r="K398" s="5" t="s">
        <v>396</v>
      </c>
      <c r="L398" s="5" t="s">
        <v>298</v>
      </c>
      <c r="N398" s="45"/>
    </row>
    <row r="399" spans="2:14" x14ac:dyDescent="0.25">
      <c r="B399" s="5">
        <v>370</v>
      </c>
      <c r="C399" s="34">
        <v>45455</v>
      </c>
      <c r="D399" s="5" t="s">
        <v>426</v>
      </c>
      <c r="E399" s="36">
        <v>1050</v>
      </c>
      <c r="F399" s="36">
        <f>E399-G399</f>
        <v>0</v>
      </c>
      <c r="G399" s="36">
        <v>1050</v>
      </c>
      <c r="H399" s="34">
        <v>45504</v>
      </c>
      <c r="I399" s="34"/>
      <c r="J399" s="34"/>
      <c r="K399" s="5" t="s">
        <v>396</v>
      </c>
    </row>
    <row r="400" spans="2:14" x14ac:dyDescent="0.25">
      <c r="B400" s="5">
        <v>368</v>
      </c>
      <c r="C400" s="34">
        <v>45455</v>
      </c>
      <c r="D400" s="5" t="s">
        <v>426</v>
      </c>
      <c r="E400" s="36">
        <v>2360</v>
      </c>
      <c r="F400" s="36">
        <f>E400-G400</f>
        <v>0</v>
      </c>
      <c r="G400" s="36">
        <v>2360</v>
      </c>
      <c r="H400" s="34">
        <v>45504</v>
      </c>
      <c r="I400" s="34"/>
      <c r="J400" s="34"/>
      <c r="K400" s="5" t="s">
        <v>603</v>
      </c>
    </row>
    <row r="401" spans="2:14" x14ac:dyDescent="0.25">
      <c r="B401" s="5">
        <v>408</v>
      </c>
      <c r="C401" s="34">
        <v>45484</v>
      </c>
      <c r="D401" s="5" t="s">
        <v>426</v>
      </c>
      <c r="E401" s="36">
        <v>1250</v>
      </c>
      <c r="F401" s="36">
        <f>E401-G401</f>
        <v>0</v>
      </c>
      <c r="G401" s="36">
        <v>1250</v>
      </c>
      <c r="H401" s="34">
        <v>45504</v>
      </c>
      <c r="I401" s="34"/>
      <c r="J401" s="34"/>
      <c r="K401" s="5" t="s">
        <v>396</v>
      </c>
      <c r="L401" s="5" t="s">
        <v>298</v>
      </c>
    </row>
    <row r="402" spans="2:14" x14ac:dyDescent="0.25">
      <c r="B402" s="5">
        <v>409</v>
      </c>
      <c r="C402" s="34">
        <v>45485</v>
      </c>
      <c r="D402" s="5" t="s">
        <v>787</v>
      </c>
      <c r="E402" s="36">
        <v>2392</v>
      </c>
      <c r="F402" s="36">
        <f>E402-G402</f>
        <v>0</v>
      </c>
      <c r="G402" s="36">
        <v>2392</v>
      </c>
      <c r="H402" s="34">
        <v>45490</v>
      </c>
      <c r="I402" s="34"/>
      <c r="J402" s="34"/>
      <c r="K402" s="5" t="s">
        <v>745</v>
      </c>
    </row>
    <row r="403" spans="2:14" x14ac:dyDescent="0.25">
      <c r="B403" s="5">
        <v>415</v>
      </c>
      <c r="C403" s="34">
        <v>45488</v>
      </c>
      <c r="D403" s="5" t="s">
        <v>787</v>
      </c>
      <c r="E403" s="36">
        <v>1550</v>
      </c>
      <c r="F403" s="36">
        <f>E403-G403</f>
        <v>0</v>
      </c>
      <c r="G403" s="36">
        <v>1550</v>
      </c>
      <c r="H403" s="34">
        <v>45504</v>
      </c>
      <c r="I403" s="34"/>
      <c r="J403" s="34"/>
      <c r="K403" s="5" t="s">
        <v>745</v>
      </c>
      <c r="L403" s="5" t="s">
        <v>298</v>
      </c>
    </row>
    <row r="404" spans="2:14" x14ac:dyDescent="0.25">
      <c r="B404" s="5">
        <v>377</v>
      </c>
      <c r="C404" s="34">
        <v>45467</v>
      </c>
      <c r="D404" s="5" t="s">
        <v>786</v>
      </c>
      <c r="E404" s="36">
        <v>700</v>
      </c>
      <c r="F404" s="36">
        <f>E404-G404</f>
        <v>0</v>
      </c>
      <c r="G404" s="36">
        <v>700</v>
      </c>
      <c r="H404" s="34">
        <v>45470</v>
      </c>
      <c r="I404" s="34"/>
      <c r="J404" s="34"/>
      <c r="K404" s="5" t="s">
        <v>780</v>
      </c>
      <c r="L404" s="5" t="s">
        <v>298</v>
      </c>
    </row>
    <row r="405" spans="2:14" x14ac:dyDescent="0.25">
      <c r="B405" s="5">
        <v>427</v>
      </c>
      <c r="C405" s="34">
        <v>45496</v>
      </c>
      <c r="D405" s="5" t="s">
        <v>328</v>
      </c>
      <c r="E405" s="36">
        <v>824.21</v>
      </c>
      <c r="F405" s="36">
        <f>E405-G405</f>
        <v>0</v>
      </c>
      <c r="G405" s="36">
        <v>824.21</v>
      </c>
      <c r="H405" s="34">
        <v>45502</v>
      </c>
      <c r="I405" s="34"/>
      <c r="J405" s="34"/>
      <c r="K405" s="5" t="s">
        <v>769</v>
      </c>
    </row>
    <row r="406" spans="2:14" x14ac:dyDescent="0.25">
      <c r="B406" s="5">
        <v>426</v>
      </c>
      <c r="C406" s="34">
        <v>45495</v>
      </c>
      <c r="D406" s="5" t="s">
        <v>328</v>
      </c>
      <c r="E406" s="36">
        <v>605.65</v>
      </c>
      <c r="F406" s="36">
        <f>E406-G406</f>
        <v>0</v>
      </c>
      <c r="G406" s="36">
        <v>605.65</v>
      </c>
      <c r="H406" s="34">
        <v>45502</v>
      </c>
      <c r="I406" s="34"/>
      <c r="J406" s="34"/>
      <c r="K406" s="5" t="s">
        <v>769</v>
      </c>
    </row>
    <row r="407" spans="2:14" x14ac:dyDescent="0.25">
      <c r="B407" s="5">
        <v>308</v>
      </c>
      <c r="C407" s="34">
        <v>45426</v>
      </c>
      <c r="D407" s="5" t="s">
        <v>328</v>
      </c>
      <c r="E407" s="36">
        <v>281.83999999999997</v>
      </c>
      <c r="F407" s="36">
        <f>E407-G407</f>
        <v>0</v>
      </c>
      <c r="G407" s="36">
        <v>281.83999999999997</v>
      </c>
      <c r="H407" s="34">
        <v>45529</v>
      </c>
      <c r="I407" s="34"/>
      <c r="J407" s="34"/>
      <c r="K407" s="5" t="s">
        <v>784</v>
      </c>
    </row>
    <row r="408" spans="2:14" x14ac:dyDescent="0.25">
      <c r="B408" s="5">
        <v>423</v>
      </c>
      <c r="C408" s="34">
        <v>45491</v>
      </c>
      <c r="D408" s="5" t="s">
        <v>453</v>
      </c>
      <c r="E408" s="36">
        <v>1180</v>
      </c>
      <c r="F408" s="36">
        <f>E408-G408</f>
        <v>0</v>
      </c>
      <c r="G408" s="36">
        <v>1180</v>
      </c>
      <c r="H408" s="34">
        <v>45530</v>
      </c>
      <c r="I408" s="34"/>
      <c r="J408" s="34"/>
      <c r="K408" s="5" t="s">
        <v>581</v>
      </c>
      <c r="L408" s="5" t="s">
        <v>298</v>
      </c>
    </row>
    <row r="409" spans="2:14" x14ac:dyDescent="0.25">
      <c r="B409" s="5">
        <v>416</v>
      </c>
      <c r="C409" s="34">
        <v>45488</v>
      </c>
      <c r="D409" s="5" t="s">
        <v>252</v>
      </c>
      <c r="E409" s="36">
        <v>140.1</v>
      </c>
      <c r="F409" s="36">
        <f>E409-G409</f>
        <v>0</v>
      </c>
      <c r="G409" s="36">
        <v>140.1</v>
      </c>
      <c r="H409" s="34">
        <v>45550</v>
      </c>
      <c r="I409" s="34"/>
      <c r="J409" s="34"/>
      <c r="K409" s="5" t="s">
        <v>785</v>
      </c>
      <c r="L409" s="5" t="s">
        <v>303</v>
      </c>
      <c r="M409" s="5" t="s">
        <v>308</v>
      </c>
    </row>
    <row r="410" spans="2:14" x14ac:dyDescent="0.25">
      <c r="B410" s="5">
        <v>307</v>
      </c>
      <c r="C410" s="34">
        <v>45426</v>
      </c>
      <c r="D410" s="5" t="s">
        <v>314</v>
      </c>
      <c r="E410" s="36">
        <v>12785</v>
      </c>
      <c r="F410" s="36">
        <f>E410-G410</f>
        <v>0</v>
      </c>
      <c r="G410" s="36">
        <v>12785</v>
      </c>
      <c r="H410" s="34">
        <v>45445</v>
      </c>
      <c r="I410" s="34"/>
      <c r="J410" s="34"/>
      <c r="K410" s="5" t="s">
        <v>784</v>
      </c>
      <c r="L410" s="5" t="s">
        <v>298</v>
      </c>
    </row>
    <row r="411" spans="2:14" x14ac:dyDescent="0.25">
      <c r="B411" s="5">
        <v>448</v>
      </c>
      <c r="C411" s="34">
        <v>45505</v>
      </c>
      <c r="D411" s="5" t="s">
        <v>470</v>
      </c>
      <c r="E411" s="36">
        <v>2000</v>
      </c>
      <c r="F411" s="36">
        <f>E411-G411</f>
        <v>0</v>
      </c>
      <c r="G411" s="36">
        <v>2000</v>
      </c>
      <c r="H411" s="34">
        <v>45535</v>
      </c>
      <c r="I411" s="34"/>
      <c r="J411" s="34"/>
      <c r="K411" s="5" t="s">
        <v>755</v>
      </c>
    </row>
    <row r="412" spans="2:14" x14ac:dyDescent="0.25">
      <c r="B412" s="5">
        <v>285</v>
      </c>
      <c r="C412" s="34">
        <v>45421</v>
      </c>
      <c r="D412" s="5" t="s">
        <v>783</v>
      </c>
      <c r="E412" s="36">
        <v>5500</v>
      </c>
      <c r="F412" s="36">
        <f>E412-G412</f>
        <v>0</v>
      </c>
      <c r="G412" s="36">
        <v>5500</v>
      </c>
      <c r="H412" s="34">
        <v>45442</v>
      </c>
      <c r="I412" s="34"/>
      <c r="J412" s="34"/>
      <c r="K412" s="5" t="s">
        <v>396</v>
      </c>
      <c r="L412" s="5" t="s">
        <v>309</v>
      </c>
      <c r="N412" s="45"/>
    </row>
    <row r="413" spans="2:14" x14ac:dyDescent="0.25">
      <c r="B413" s="5">
        <v>434</v>
      </c>
      <c r="C413" s="34">
        <v>45498</v>
      </c>
      <c r="D413" s="5" t="s">
        <v>782</v>
      </c>
      <c r="E413" s="36">
        <v>900</v>
      </c>
      <c r="F413" s="36">
        <f>E413-G413</f>
        <v>0</v>
      </c>
      <c r="G413" s="36">
        <v>900</v>
      </c>
      <c r="H413" s="34">
        <v>45504</v>
      </c>
      <c r="I413" s="34"/>
      <c r="J413" s="34"/>
      <c r="K413" s="5" t="s">
        <v>781</v>
      </c>
      <c r="L413" s="5" t="s">
        <v>298</v>
      </c>
    </row>
    <row r="414" spans="2:14" x14ac:dyDescent="0.25">
      <c r="B414" s="5">
        <v>463</v>
      </c>
      <c r="C414" s="34">
        <v>45537</v>
      </c>
      <c r="D414" s="5" t="s">
        <v>175</v>
      </c>
      <c r="E414" s="36">
        <v>120</v>
      </c>
      <c r="F414" s="36">
        <f>E414-G414</f>
        <v>0</v>
      </c>
      <c r="G414" s="36">
        <v>120</v>
      </c>
      <c r="H414" s="34">
        <v>45537</v>
      </c>
      <c r="I414" s="34"/>
      <c r="J414" s="34"/>
      <c r="K414" s="5" t="s">
        <v>780</v>
      </c>
      <c r="L414" s="5" t="s">
        <v>298</v>
      </c>
    </row>
    <row r="415" spans="2:14" x14ac:dyDescent="0.25">
      <c r="B415" s="5">
        <v>450</v>
      </c>
      <c r="C415" s="34">
        <v>45505</v>
      </c>
      <c r="D415" s="5" t="s">
        <v>175</v>
      </c>
      <c r="E415" s="36">
        <v>480</v>
      </c>
      <c r="F415" s="36">
        <f>E415-G415</f>
        <v>0</v>
      </c>
      <c r="G415" s="36">
        <v>480</v>
      </c>
      <c r="H415" s="34">
        <v>45505</v>
      </c>
      <c r="I415" s="34"/>
      <c r="J415" s="34"/>
      <c r="K415" s="5" t="s">
        <v>780</v>
      </c>
      <c r="L415" s="5" t="s">
        <v>298</v>
      </c>
    </row>
    <row r="416" spans="2:14" x14ac:dyDescent="0.25">
      <c r="B416" s="5">
        <v>386</v>
      </c>
      <c r="C416" s="34">
        <v>45474</v>
      </c>
      <c r="D416" s="5" t="s">
        <v>175</v>
      </c>
      <c r="E416" s="36">
        <v>120</v>
      </c>
      <c r="F416" s="36">
        <f>E416-G416</f>
        <v>0</v>
      </c>
      <c r="G416" s="36">
        <v>120</v>
      </c>
      <c r="H416" s="34">
        <v>45474</v>
      </c>
      <c r="I416" s="34"/>
      <c r="J416" s="34"/>
      <c r="K416" s="5" t="s">
        <v>780</v>
      </c>
      <c r="L416" s="5" t="s">
        <v>298</v>
      </c>
    </row>
    <row r="417" spans="2:13" x14ac:dyDescent="0.25">
      <c r="B417" s="5">
        <v>447</v>
      </c>
      <c r="C417" s="34">
        <v>45504</v>
      </c>
      <c r="D417" s="5" t="s">
        <v>395</v>
      </c>
      <c r="E417" s="36">
        <v>634.5</v>
      </c>
      <c r="F417" s="36">
        <f>E417-G417</f>
        <v>0</v>
      </c>
      <c r="G417" s="36">
        <v>634.5</v>
      </c>
      <c r="H417" s="34">
        <v>45504</v>
      </c>
      <c r="I417" s="34"/>
      <c r="J417" s="34"/>
      <c r="K417" s="5" t="s">
        <v>396</v>
      </c>
      <c r="L417" s="5" t="s">
        <v>298</v>
      </c>
    </row>
    <row r="418" spans="2:13" x14ac:dyDescent="0.25">
      <c r="B418" s="5">
        <v>295</v>
      </c>
      <c r="C418" s="34">
        <v>45422</v>
      </c>
      <c r="D418" s="5" t="s">
        <v>573</v>
      </c>
      <c r="E418" s="36">
        <v>1770</v>
      </c>
      <c r="F418" s="36">
        <f>E418-G418</f>
        <v>0</v>
      </c>
      <c r="G418" s="36">
        <v>1770</v>
      </c>
      <c r="H418" s="34">
        <v>45443</v>
      </c>
      <c r="I418" s="34"/>
      <c r="J418" s="34"/>
      <c r="K418" s="5" t="s">
        <v>603</v>
      </c>
      <c r="L418" s="5" t="s">
        <v>298</v>
      </c>
    </row>
    <row r="419" spans="2:13" x14ac:dyDescent="0.25">
      <c r="B419" s="5">
        <v>458</v>
      </c>
      <c r="C419" s="34">
        <v>45530</v>
      </c>
      <c r="D419" s="5" t="s">
        <v>573</v>
      </c>
      <c r="E419" s="36">
        <v>150</v>
      </c>
      <c r="F419" s="36">
        <f>E419-G419</f>
        <v>0</v>
      </c>
      <c r="G419" s="36">
        <v>150</v>
      </c>
      <c r="H419" s="34">
        <v>45534</v>
      </c>
      <c r="I419" s="34"/>
      <c r="J419" s="34"/>
      <c r="K419" s="5" t="s">
        <v>543</v>
      </c>
      <c r="L419" s="5" t="s">
        <v>298</v>
      </c>
    </row>
    <row r="420" spans="2:13" x14ac:dyDescent="0.25">
      <c r="B420" s="5">
        <v>461</v>
      </c>
      <c r="C420" s="34">
        <v>45533</v>
      </c>
      <c r="D420" s="5" t="s">
        <v>436</v>
      </c>
      <c r="E420" s="36">
        <v>70</v>
      </c>
      <c r="F420" s="36">
        <f>E420-G420</f>
        <v>0</v>
      </c>
      <c r="G420" s="36">
        <v>70</v>
      </c>
      <c r="H420" s="34">
        <v>45540</v>
      </c>
      <c r="I420" s="34"/>
      <c r="J420" s="34"/>
      <c r="K420" s="5" t="s">
        <v>750</v>
      </c>
      <c r="L420" s="5" t="s">
        <v>298</v>
      </c>
    </row>
    <row r="421" spans="2:13" x14ac:dyDescent="0.25">
      <c r="B421" s="5">
        <v>432</v>
      </c>
      <c r="C421" s="34">
        <v>45497</v>
      </c>
      <c r="D421" s="5" t="s">
        <v>436</v>
      </c>
      <c r="E421" s="36">
        <v>3435</v>
      </c>
      <c r="F421" s="36">
        <f>E421-G421</f>
        <v>0</v>
      </c>
      <c r="G421" s="36">
        <v>3435</v>
      </c>
      <c r="H421" s="34">
        <v>45504</v>
      </c>
      <c r="I421" s="34"/>
      <c r="J421" s="34"/>
      <c r="K421" s="5" t="s">
        <v>525</v>
      </c>
      <c r="L421" s="5" t="s">
        <v>303</v>
      </c>
    </row>
    <row r="422" spans="2:13" x14ac:dyDescent="0.25">
      <c r="B422" s="5">
        <v>420</v>
      </c>
      <c r="C422" s="34">
        <v>45489</v>
      </c>
      <c r="D422" s="5" t="s">
        <v>779</v>
      </c>
      <c r="E422" s="36">
        <v>656.44</v>
      </c>
      <c r="F422" s="36">
        <f>E422-G422</f>
        <v>0</v>
      </c>
      <c r="G422" s="36">
        <v>656.44</v>
      </c>
      <c r="H422" s="34">
        <v>45503</v>
      </c>
      <c r="I422" s="34"/>
      <c r="J422" s="34"/>
      <c r="K422" s="5" t="s">
        <v>778</v>
      </c>
      <c r="L422" s="5" t="s">
        <v>309</v>
      </c>
    </row>
    <row r="423" spans="2:13" x14ac:dyDescent="0.25">
      <c r="B423" s="5">
        <v>279</v>
      </c>
      <c r="C423" s="34">
        <v>45419</v>
      </c>
      <c r="D423" s="5" t="s">
        <v>463</v>
      </c>
      <c r="E423" s="36">
        <v>16800</v>
      </c>
      <c r="F423" s="36">
        <f>E423-G423</f>
        <v>0</v>
      </c>
      <c r="G423" s="36">
        <v>16800</v>
      </c>
      <c r="H423" s="34">
        <v>45504</v>
      </c>
      <c r="I423" s="34"/>
      <c r="J423" s="34"/>
      <c r="K423" s="5" t="s">
        <v>603</v>
      </c>
      <c r="L423" s="5" t="s">
        <v>298</v>
      </c>
    </row>
    <row r="424" spans="2:13" x14ac:dyDescent="0.25">
      <c r="B424" s="5">
        <v>465</v>
      </c>
      <c r="C424" s="34">
        <v>45538</v>
      </c>
      <c r="D424" s="5" t="s">
        <v>777</v>
      </c>
      <c r="E424" s="33">
        <v>802.3</v>
      </c>
      <c r="F424" s="33">
        <f>E424-G424</f>
        <v>0</v>
      </c>
      <c r="G424" s="33">
        <v>802.3</v>
      </c>
      <c r="H424" s="34">
        <v>45545</v>
      </c>
      <c r="I424" s="34"/>
      <c r="J424" s="34"/>
      <c r="K424" s="5" t="s">
        <v>776</v>
      </c>
    </row>
    <row r="425" spans="2:13" x14ac:dyDescent="0.25">
      <c r="B425" s="5">
        <v>441</v>
      </c>
      <c r="C425" s="34">
        <v>45503</v>
      </c>
      <c r="D425" s="5" t="s">
        <v>23</v>
      </c>
      <c r="E425" s="36">
        <v>195.15</v>
      </c>
      <c r="F425" s="36">
        <f>E425-G425</f>
        <v>0</v>
      </c>
      <c r="G425" s="36">
        <v>195.15</v>
      </c>
      <c r="H425" s="34">
        <v>45506</v>
      </c>
      <c r="I425" s="34"/>
      <c r="J425" s="34"/>
      <c r="K425" s="5" t="s">
        <v>543</v>
      </c>
      <c r="L425" s="5" t="s">
        <v>298</v>
      </c>
    </row>
    <row r="426" spans="2:13" x14ac:dyDescent="0.25">
      <c r="B426" s="5">
        <v>359</v>
      </c>
      <c r="C426" s="34">
        <v>45449</v>
      </c>
      <c r="D426" s="5" t="s">
        <v>775</v>
      </c>
      <c r="E426" s="36">
        <v>10</v>
      </c>
      <c r="F426" s="36">
        <f>E426-G426</f>
        <v>0</v>
      </c>
      <c r="G426" s="36">
        <v>10</v>
      </c>
      <c r="H426" s="34">
        <v>45449</v>
      </c>
      <c r="I426" s="34"/>
      <c r="J426" s="34"/>
      <c r="K426" s="5" t="s">
        <v>742</v>
      </c>
      <c r="L426" s="5" t="s">
        <v>298</v>
      </c>
    </row>
    <row r="427" spans="2:13" x14ac:dyDescent="0.25">
      <c r="B427" s="5">
        <v>451</v>
      </c>
      <c r="C427" s="34">
        <v>45505</v>
      </c>
      <c r="D427" s="5" t="s">
        <v>774</v>
      </c>
      <c r="E427" s="36">
        <v>249</v>
      </c>
      <c r="F427" s="36">
        <f>E427-G427</f>
        <v>0</v>
      </c>
      <c r="G427" s="36">
        <v>249</v>
      </c>
      <c r="H427" s="34">
        <v>45541</v>
      </c>
      <c r="I427" s="34"/>
      <c r="J427" s="34"/>
      <c r="K427" s="5" t="s">
        <v>543</v>
      </c>
      <c r="L427" s="5" t="s">
        <v>309</v>
      </c>
      <c r="M427" s="5" t="s">
        <v>308</v>
      </c>
    </row>
    <row r="428" spans="2:13" x14ac:dyDescent="0.25">
      <c r="B428" s="5">
        <v>466</v>
      </c>
      <c r="C428" s="34">
        <v>45539</v>
      </c>
      <c r="D428" s="5" t="s">
        <v>307</v>
      </c>
      <c r="E428" s="33">
        <v>40.65</v>
      </c>
      <c r="F428" s="33">
        <f>E428-G428</f>
        <v>0</v>
      </c>
      <c r="G428" s="33">
        <v>40.65</v>
      </c>
      <c r="H428" s="34">
        <v>45541</v>
      </c>
      <c r="I428" s="34"/>
      <c r="J428" s="34"/>
      <c r="K428" s="5" t="s">
        <v>581</v>
      </c>
      <c r="L428" s="5" t="s">
        <v>298</v>
      </c>
    </row>
    <row r="429" spans="2:13" x14ac:dyDescent="0.25">
      <c r="B429" s="5">
        <v>460</v>
      </c>
      <c r="C429" s="34">
        <v>45532</v>
      </c>
      <c r="D429" s="5" t="s">
        <v>371</v>
      </c>
      <c r="E429" s="33">
        <v>830</v>
      </c>
      <c r="F429" s="33">
        <f>E429-G429</f>
        <v>0</v>
      </c>
      <c r="G429" s="33">
        <v>830</v>
      </c>
      <c r="H429" s="34">
        <v>45563</v>
      </c>
      <c r="I429" s="34"/>
      <c r="J429" s="34"/>
      <c r="K429" s="5" t="s">
        <v>603</v>
      </c>
      <c r="L429" s="5" t="s">
        <v>298</v>
      </c>
    </row>
    <row r="430" spans="2:13" x14ac:dyDescent="0.25">
      <c r="B430" s="5">
        <v>433</v>
      </c>
      <c r="C430" s="34">
        <v>45497</v>
      </c>
      <c r="D430" s="5" t="s">
        <v>300</v>
      </c>
      <c r="E430" s="36">
        <v>416.5</v>
      </c>
      <c r="F430" s="36">
        <f>E430-G430</f>
        <v>0</v>
      </c>
      <c r="G430" s="36">
        <v>416.5</v>
      </c>
      <c r="H430" s="34">
        <v>45503</v>
      </c>
      <c r="I430" s="34"/>
      <c r="J430" s="34"/>
      <c r="K430" s="5" t="s">
        <v>525</v>
      </c>
    </row>
    <row r="431" spans="2:13" x14ac:dyDescent="0.25">
      <c r="B431" s="5">
        <v>470</v>
      </c>
      <c r="C431" s="34">
        <v>45546</v>
      </c>
      <c r="D431" s="5" t="s">
        <v>426</v>
      </c>
      <c r="E431" s="36">
        <v>350</v>
      </c>
      <c r="F431" s="36">
        <f>E431-G431</f>
        <v>0</v>
      </c>
      <c r="G431" s="36">
        <v>350</v>
      </c>
      <c r="H431" s="34">
        <v>45546</v>
      </c>
      <c r="I431" s="34"/>
      <c r="J431" s="34"/>
      <c r="K431" s="5" t="s">
        <v>396</v>
      </c>
      <c r="L431" s="5" t="s">
        <v>298</v>
      </c>
    </row>
    <row r="432" spans="2:13" x14ac:dyDescent="0.25">
      <c r="B432" s="5">
        <v>472</v>
      </c>
      <c r="C432" s="34">
        <v>45546</v>
      </c>
      <c r="D432" s="5" t="s">
        <v>537</v>
      </c>
      <c r="E432" s="36">
        <v>52.65</v>
      </c>
      <c r="F432" s="36">
        <f>E432-G432</f>
        <v>0</v>
      </c>
      <c r="G432" s="36">
        <v>52.65</v>
      </c>
      <c r="H432" s="34">
        <v>45553</v>
      </c>
      <c r="I432" s="34"/>
      <c r="J432" s="34"/>
      <c r="K432" s="5" t="s">
        <v>544</v>
      </c>
      <c r="L432" s="5" t="s">
        <v>298</v>
      </c>
    </row>
    <row r="433" spans="2:15" x14ac:dyDescent="0.25">
      <c r="B433" s="5">
        <v>474</v>
      </c>
      <c r="C433" s="34">
        <v>45548</v>
      </c>
      <c r="D433" s="5" t="s">
        <v>510</v>
      </c>
      <c r="E433" s="33">
        <v>350</v>
      </c>
      <c r="F433" s="33">
        <f>E433-G433</f>
        <v>0</v>
      </c>
      <c r="G433" s="33">
        <v>350</v>
      </c>
      <c r="H433" s="34">
        <v>45548</v>
      </c>
      <c r="I433" s="34"/>
      <c r="J433" s="34"/>
      <c r="K433" s="5" t="s">
        <v>733</v>
      </c>
      <c r="L433" s="5" t="s">
        <v>298</v>
      </c>
    </row>
    <row r="434" spans="2:15" x14ac:dyDescent="0.25">
      <c r="B434" s="5">
        <v>476</v>
      </c>
      <c r="C434" s="34">
        <v>45551</v>
      </c>
      <c r="D434" s="5" t="s">
        <v>395</v>
      </c>
      <c r="E434" s="36">
        <v>82.5</v>
      </c>
      <c r="F434" s="36">
        <f>E434-G434</f>
        <v>0</v>
      </c>
      <c r="G434" s="36">
        <v>82.5</v>
      </c>
      <c r="H434" s="34">
        <v>45551</v>
      </c>
      <c r="I434" s="34"/>
      <c r="J434" s="34"/>
      <c r="K434" s="5" t="s">
        <v>396</v>
      </c>
      <c r="L434" s="5" t="s">
        <v>298</v>
      </c>
      <c r="N434" s="45"/>
    </row>
    <row r="435" spans="2:15" x14ac:dyDescent="0.25">
      <c r="B435" s="5">
        <v>475</v>
      </c>
      <c r="C435" s="34">
        <v>45548</v>
      </c>
      <c r="D435" s="5" t="s">
        <v>307</v>
      </c>
      <c r="E435" s="36">
        <v>117.07</v>
      </c>
      <c r="F435" s="36">
        <f>E435-G435</f>
        <v>0</v>
      </c>
      <c r="G435" s="36">
        <v>117.07</v>
      </c>
      <c r="H435" s="34">
        <v>45552</v>
      </c>
      <c r="I435" s="34"/>
      <c r="J435" s="34"/>
      <c r="K435" s="5" t="s">
        <v>773</v>
      </c>
      <c r="L435" s="5" t="s">
        <v>309</v>
      </c>
    </row>
    <row r="436" spans="2:15" x14ac:dyDescent="0.25">
      <c r="B436" s="5">
        <v>454</v>
      </c>
      <c r="C436" s="34">
        <v>45510</v>
      </c>
      <c r="D436" s="5" t="s">
        <v>453</v>
      </c>
      <c r="E436" s="36">
        <v>670.75</v>
      </c>
      <c r="F436" s="36">
        <f>E436-G436</f>
        <v>0</v>
      </c>
      <c r="G436" s="36">
        <v>670.75</v>
      </c>
      <c r="H436" s="34">
        <v>45548</v>
      </c>
      <c r="I436" s="34"/>
      <c r="J436" s="34"/>
      <c r="K436" s="5" t="s">
        <v>581</v>
      </c>
      <c r="L436" s="5" t="s">
        <v>298</v>
      </c>
    </row>
    <row r="437" spans="2:15" x14ac:dyDescent="0.25">
      <c r="B437" s="5">
        <v>205</v>
      </c>
      <c r="C437" s="34">
        <v>45384</v>
      </c>
      <c r="D437" s="5" t="s">
        <v>706</v>
      </c>
      <c r="E437" s="36">
        <v>400</v>
      </c>
      <c r="F437" s="36">
        <f>E437-G437</f>
        <v>0</v>
      </c>
      <c r="G437" s="36">
        <v>400</v>
      </c>
      <c r="H437" s="34">
        <v>45412</v>
      </c>
      <c r="I437" s="34"/>
      <c r="J437" s="34"/>
      <c r="K437" s="5" t="s">
        <v>772</v>
      </c>
      <c r="L437" s="5" t="s">
        <v>309</v>
      </c>
    </row>
    <row r="438" spans="2:15" x14ac:dyDescent="0.25">
      <c r="B438" s="5">
        <v>468</v>
      </c>
      <c r="C438" s="34">
        <v>45540</v>
      </c>
      <c r="D438" s="5">
        <v>1855</v>
      </c>
      <c r="E438" s="36">
        <v>40</v>
      </c>
      <c r="F438" s="36">
        <f>E438-G438</f>
        <v>0</v>
      </c>
      <c r="G438" s="36">
        <v>40</v>
      </c>
      <c r="H438" s="34">
        <v>45546</v>
      </c>
      <c r="I438" s="34"/>
      <c r="J438" s="34"/>
      <c r="K438" s="5" t="s">
        <v>691</v>
      </c>
      <c r="L438" s="5" t="s">
        <v>298</v>
      </c>
    </row>
    <row r="439" spans="2:15" x14ac:dyDescent="0.25">
      <c r="B439" s="5">
        <v>443</v>
      </c>
      <c r="C439" s="34">
        <v>45503</v>
      </c>
      <c r="D439" s="5" t="s">
        <v>349</v>
      </c>
      <c r="E439" s="36">
        <v>2005</v>
      </c>
      <c r="F439" s="36">
        <f>E439-G439</f>
        <v>0</v>
      </c>
      <c r="G439" s="36">
        <v>2005</v>
      </c>
      <c r="H439" s="34">
        <v>45503</v>
      </c>
      <c r="I439" s="34"/>
      <c r="J439" s="34"/>
      <c r="K439" s="5" t="s">
        <v>396</v>
      </c>
      <c r="L439" s="5" t="s">
        <v>298</v>
      </c>
    </row>
    <row r="440" spans="2:15" x14ac:dyDescent="0.25">
      <c r="B440" s="5">
        <v>477</v>
      </c>
      <c r="C440" s="34">
        <v>45551</v>
      </c>
      <c r="D440" s="5" t="s">
        <v>307</v>
      </c>
      <c r="E440" s="33">
        <v>210.19</v>
      </c>
      <c r="F440" s="33">
        <f>E440-G440</f>
        <v>0</v>
      </c>
      <c r="G440" s="33">
        <v>210.19</v>
      </c>
      <c r="H440" s="34">
        <v>45562</v>
      </c>
      <c r="I440" s="34"/>
      <c r="J440" s="34"/>
      <c r="K440" s="5" t="s">
        <v>543</v>
      </c>
      <c r="L440" s="5" t="s">
        <v>298</v>
      </c>
    </row>
    <row r="441" spans="2:15" x14ac:dyDescent="0.25">
      <c r="B441" s="5">
        <v>489</v>
      </c>
      <c r="C441" s="34">
        <v>45558</v>
      </c>
      <c r="D441" s="5" t="s">
        <v>726</v>
      </c>
      <c r="E441" s="36">
        <v>700</v>
      </c>
      <c r="F441" s="36">
        <f>E441-G441</f>
        <v>0</v>
      </c>
      <c r="G441" s="36">
        <v>700</v>
      </c>
      <c r="H441" s="34">
        <v>45558</v>
      </c>
      <c r="I441" s="34"/>
      <c r="J441" s="34"/>
      <c r="K441" s="5" t="s">
        <v>771</v>
      </c>
      <c r="L441" s="5" t="s">
        <v>298</v>
      </c>
    </row>
    <row r="442" spans="2:15" x14ac:dyDescent="0.25">
      <c r="B442" s="5">
        <v>469</v>
      </c>
      <c r="C442" s="34">
        <v>45545</v>
      </c>
      <c r="D442" s="5" t="s">
        <v>300</v>
      </c>
      <c r="E442" s="36">
        <v>714</v>
      </c>
      <c r="F442" s="36">
        <f>E442-G442</f>
        <v>0</v>
      </c>
      <c r="G442" s="36">
        <v>714</v>
      </c>
      <c r="H442" s="34">
        <v>45552</v>
      </c>
      <c r="I442" s="34"/>
      <c r="J442" s="34"/>
      <c r="K442" s="5" t="s">
        <v>525</v>
      </c>
    </row>
    <row r="443" spans="2:15" x14ac:dyDescent="0.25">
      <c r="B443" s="5">
        <v>473</v>
      </c>
      <c r="C443" s="34">
        <v>45547</v>
      </c>
      <c r="D443" s="5" t="s">
        <v>371</v>
      </c>
      <c r="E443" s="36">
        <v>250</v>
      </c>
      <c r="F443" s="36">
        <f>E443-G443</f>
        <v>0</v>
      </c>
      <c r="G443" s="36">
        <v>250</v>
      </c>
      <c r="H443" s="34">
        <v>45548</v>
      </c>
      <c r="I443" s="34"/>
      <c r="J443" s="34"/>
      <c r="K443" s="5" t="s">
        <v>752</v>
      </c>
      <c r="L443" s="5" t="s">
        <v>298</v>
      </c>
      <c r="N443" s="45"/>
    </row>
    <row r="444" spans="2:15" x14ac:dyDescent="0.25">
      <c r="B444" s="5">
        <v>487</v>
      </c>
      <c r="C444" s="34">
        <v>45558</v>
      </c>
      <c r="D444" s="5" t="s">
        <v>375</v>
      </c>
      <c r="E444" s="36">
        <v>75.319999999999993</v>
      </c>
      <c r="F444" s="36">
        <f>E444-G444</f>
        <v>0</v>
      </c>
      <c r="G444" s="36">
        <v>75.319999999999993</v>
      </c>
      <c r="H444" s="34">
        <v>45560</v>
      </c>
      <c r="I444" s="34"/>
      <c r="J444" s="34"/>
      <c r="K444" s="5" t="s">
        <v>486</v>
      </c>
      <c r="L444" s="5" t="s">
        <v>298</v>
      </c>
    </row>
    <row r="445" spans="2:15" x14ac:dyDescent="0.25">
      <c r="B445" s="5">
        <v>425</v>
      </c>
      <c r="C445" s="34">
        <v>45495</v>
      </c>
      <c r="D445" s="5" t="s">
        <v>770</v>
      </c>
      <c r="E445" s="36">
        <f>O445*O2</f>
        <v>118.28670000000001</v>
      </c>
      <c r="F445" s="36">
        <f>E445-G445</f>
        <v>-3.2999999999958618E-3</v>
      </c>
      <c r="G445" s="36">
        <v>118.29</v>
      </c>
      <c r="H445" s="34">
        <v>45506</v>
      </c>
      <c r="I445" s="34"/>
      <c r="J445" s="34"/>
      <c r="K445" s="5" t="s">
        <v>769</v>
      </c>
      <c r="L445" s="5" t="s">
        <v>298</v>
      </c>
      <c r="N445" s="5" t="s">
        <v>391</v>
      </c>
      <c r="O445" s="5">
        <v>127.19</v>
      </c>
    </row>
    <row r="446" spans="2:15" x14ac:dyDescent="0.25">
      <c r="B446" s="5">
        <v>492</v>
      </c>
      <c r="C446" s="34">
        <v>45560</v>
      </c>
      <c r="D446" s="5" t="s">
        <v>307</v>
      </c>
      <c r="E446" s="36">
        <v>13.8</v>
      </c>
      <c r="F446" s="36">
        <f>E446-G446</f>
        <v>0</v>
      </c>
      <c r="G446" s="36">
        <v>13.8</v>
      </c>
      <c r="H446" s="34">
        <v>45565</v>
      </c>
      <c r="I446" s="34"/>
      <c r="J446" s="34"/>
      <c r="K446" s="5" t="s">
        <v>598</v>
      </c>
      <c r="L446" s="5" t="s">
        <v>298</v>
      </c>
    </row>
    <row r="447" spans="2:15" x14ac:dyDescent="0.25">
      <c r="B447" s="5">
        <v>438</v>
      </c>
      <c r="C447" s="34">
        <v>45499</v>
      </c>
      <c r="D447" s="5" t="s">
        <v>139</v>
      </c>
      <c r="E447" s="36">
        <v>4275.5</v>
      </c>
      <c r="F447" s="36">
        <f>E447-G447</f>
        <v>0</v>
      </c>
      <c r="G447" s="36">
        <v>4275.5</v>
      </c>
      <c r="H447" s="34">
        <v>45550</v>
      </c>
      <c r="I447" s="34"/>
      <c r="J447" s="34"/>
      <c r="K447" s="5" t="s">
        <v>598</v>
      </c>
      <c r="L447" s="5" t="s">
        <v>298</v>
      </c>
    </row>
    <row r="448" spans="2:15" x14ac:dyDescent="0.25">
      <c r="B448" s="5">
        <v>485</v>
      </c>
      <c r="C448" s="34">
        <v>45555</v>
      </c>
      <c r="D448" s="5" t="s">
        <v>300</v>
      </c>
      <c r="E448" s="36">
        <v>465</v>
      </c>
      <c r="F448" s="36">
        <f>E448-G448</f>
        <v>0</v>
      </c>
      <c r="G448" s="36">
        <v>465</v>
      </c>
      <c r="H448" s="34">
        <v>45562</v>
      </c>
      <c r="I448" s="34"/>
      <c r="J448" s="34"/>
      <c r="K448" s="5" t="s">
        <v>525</v>
      </c>
      <c r="L448" s="5" t="s">
        <v>298</v>
      </c>
    </row>
    <row r="449" spans="2:14" x14ac:dyDescent="0.25">
      <c r="B449" s="5">
        <v>340</v>
      </c>
      <c r="C449" s="34">
        <v>45441</v>
      </c>
      <c r="D449" s="5" t="s">
        <v>466</v>
      </c>
      <c r="E449" s="36">
        <v>4844</v>
      </c>
      <c r="F449" s="36">
        <f>E449-G449</f>
        <v>0</v>
      </c>
      <c r="G449" s="36">
        <v>4844</v>
      </c>
      <c r="H449" s="34">
        <v>45555</v>
      </c>
      <c r="I449" s="34"/>
      <c r="J449" s="34"/>
      <c r="K449" s="5" t="s">
        <v>686</v>
      </c>
      <c r="L449" s="5" t="s">
        <v>309</v>
      </c>
      <c r="M449" s="5" t="s">
        <v>308</v>
      </c>
    </row>
    <row r="450" spans="2:14" x14ac:dyDescent="0.25">
      <c r="B450" s="5">
        <v>457</v>
      </c>
      <c r="C450" s="34">
        <v>45511</v>
      </c>
      <c r="D450" s="5" t="s">
        <v>768</v>
      </c>
      <c r="E450" s="36">
        <v>900</v>
      </c>
      <c r="F450" s="36">
        <f>E450-G450</f>
        <v>0</v>
      </c>
      <c r="G450" s="36">
        <v>900</v>
      </c>
      <c r="H450" s="34">
        <v>45565</v>
      </c>
      <c r="I450" s="34"/>
      <c r="J450" s="34"/>
      <c r="K450" s="5" t="s">
        <v>767</v>
      </c>
      <c r="L450" s="5" t="s">
        <v>298</v>
      </c>
    </row>
    <row r="451" spans="2:14" x14ac:dyDescent="0.25">
      <c r="B451" s="5">
        <v>462</v>
      </c>
      <c r="C451" s="34">
        <v>45537</v>
      </c>
      <c r="D451" s="5" t="s">
        <v>470</v>
      </c>
      <c r="E451" s="36">
        <v>2000</v>
      </c>
      <c r="F451" s="36">
        <f>E451-G451</f>
        <v>0</v>
      </c>
      <c r="G451" s="36">
        <v>2000</v>
      </c>
      <c r="H451" s="34">
        <v>45565</v>
      </c>
      <c r="I451" s="34"/>
      <c r="J451" s="34"/>
      <c r="K451" s="5" t="s">
        <v>755</v>
      </c>
      <c r="L451" s="5" t="s">
        <v>298</v>
      </c>
    </row>
    <row r="452" spans="2:14" x14ac:dyDescent="0.25">
      <c r="B452" s="5">
        <v>491</v>
      </c>
      <c r="C452" s="34">
        <v>45560</v>
      </c>
      <c r="D452" s="5" t="s">
        <v>328</v>
      </c>
      <c r="E452" s="36">
        <v>132.82</v>
      </c>
      <c r="F452" s="36">
        <f>E452-G452</f>
        <v>0</v>
      </c>
      <c r="G452" s="36">
        <v>132.82</v>
      </c>
      <c r="H452" s="34">
        <v>45565</v>
      </c>
      <c r="I452" s="34"/>
      <c r="J452" s="34"/>
      <c r="K452" s="5" t="s">
        <v>598</v>
      </c>
      <c r="L452" s="5" t="s">
        <v>298</v>
      </c>
    </row>
    <row r="453" spans="2:14" x14ac:dyDescent="0.25">
      <c r="B453" s="5">
        <v>499</v>
      </c>
      <c r="C453" s="34">
        <v>45566</v>
      </c>
      <c r="D453" s="5" t="s">
        <v>307</v>
      </c>
      <c r="E453" s="36">
        <v>15.79</v>
      </c>
      <c r="F453" s="36">
        <f>E453-G453</f>
        <v>0</v>
      </c>
      <c r="G453" s="36">
        <v>15.79</v>
      </c>
      <c r="H453" s="34">
        <v>45569</v>
      </c>
      <c r="I453" s="34"/>
      <c r="J453" s="34"/>
      <c r="K453" s="5" t="s">
        <v>543</v>
      </c>
      <c r="L453" s="5" t="s">
        <v>298</v>
      </c>
    </row>
    <row r="454" spans="2:14" x14ac:dyDescent="0.25">
      <c r="B454" s="5">
        <v>481</v>
      </c>
      <c r="C454" s="34">
        <v>45553</v>
      </c>
      <c r="D454" s="5" t="s">
        <v>321</v>
      </c>
      <c r="E454" s="36">
        <v>24.9</v>
      </c>
      <c r="F454" s="36">
        <f>E454-G454</f>
        <v>0</v>
      </c>
      <c r="G454" s="36">
        <v>24.9</v>
      </c>
      <c r="H454" s="34">
        <v>45559</v>
      </c>
      <c r="I454" s="34"/>
      <c r="J454" s="34"/>
      <c r="K454" s="5" t="s">
        <v>765</v>
      </c>
      <c r="L454" s="5" t="s">
        <v>303</v>
      </c>
      <c r="M454" s="5" t="s">
        <v>308</v>
      </c>
      <c r="N454" s="45"/>
    </row>
    <row r="455" spans="2:14" x14ac:dyDescent="0.25">
      <c r="B455" s="5">
        <v>497</v>
      </c>
      <c r="C455" s="34">
        <v>45565</v>
      </c>
      <c r="D455" s="5" t="s">
        <v>300</v>
      </c>
      <c r="E455" s="36">
        <v>300</v>
      </c>
      <c r="F455" s="36">
        <f>E455-G455</f>
        <v>0</v>
      </c>
      <c r="G455" s="36">
        <v>300</v>
      </c>
      <c r="H455" s="34">
        <v>45572</v>
      </c>
      <c r="I455" s="34"/>
      <c r="J455" s="34"/>
      <c r="K455" s="5" t="s">
        <v>525</v>
      </c>
    </row>
    <row r="456" spans="2:14" x14ac:dyDescent="0.25">
      <c r="B456" s="5">
        <v>498</v>
      </c>
      <c r="C456" s="34">
        <v>45565</v>
      </c>
      <c r="D456" s="5" t="s">
        <v>300</v>
      </c>
      <c r="E456" s="36">
        <v>120</v>
      </c>
      <c r="F456" s="36">
        <f>E456-G456</f>
        <v>0</v>
      </c>
      <c r="G456" s="36">
        <v>120</v>
      </c>
      <c r="H456" s="34">
        <v>45572</v>
      </c>
      <c r="I456" s="34"/>
      <c r="J456" s="34"/>
      <c r="K456" s="5" t="s">
        <v>766</v>
      </c>
    </row>
    <row r="457" spans="2:14" x14ac:dyDescent="0.25">
      <c r="B457" s="5">
        <v>459</v>
      </c>
      <c r="C457" s="34">
        <v>45530</v>
      </c>
      <c r="D457" s="5" t="s">
        <v>617</v>
      </c>
      <c r="E457" s="36">
        <v>315</v>
      </c>
      <c r="F457" s="36">
        <f>E457-G457</f>
        <v>0</v>
      </c>
      <c r="G457" s="36">
        <v>315</v>
      </c>
      <c r="H457" s="34">
        <v>45544</v>
      </c>
      <c r="I457" s="34"/>
      <c r="J457" s="34"/>
      <c r="K457" s="5" t="s">
        <v>708</v>
      </c>
      <c r="L457" s="5" t="s">
        <v>298</v>
      </c>
    </row>
    <row r="458" spans="2:14" x14ac:dyDescent="0.25">
      <c r="B458" s="5">
        <v>436</v>
      </c>
      <c r="C458" s="34">
        <v>45499</v>
      </c>
      <c r="D458" s="5" t="s">
        <v>617</v>
      </c>
      <c r="E458" s="36">
        <v>2559</v>
      </c>
      <c r="F458" s="36">
        <f>E458-G458</f>
        <v>0</v>
      </c>
      <c r="G458" s="36">
        <v>2559</v>
      </c>
      <c r="H458" s="34">
        <v>45544</v>
      </c>
      <c r="I458" s="34"/>
      <c r="J458" s="34"/>
      <c r="K458" s="5" t="s">
        <v>603</v>
      </c>
      <c r="L458" s="5" t="s">
        <v>298</v>
      </c>
    </row>
    <row r="459" spans="2:14" x14ac:dyDescent="0.25">
      <c r="B459" s="5">
        <v>437</v>
      </c>
      <c r="C459" s="34">
        <v>45499</v>
      </c>
      <c r="D459" s="5" t="s">
        <v>617</v>
      </c>
      <c r="E459" s="36">
        <v>947.4</v>
      </c>
      <c r="F459" s="36">
        <f>E459-G459</f>
        <v>0</v>
      </c>
      <c r="G459" s="36">
        <v>947.4</v>
      </c>
      <c r="H459" s="34">
        <v>45544</v>
      </c>
      <c r="I459" s="34"/>
      <c r="J459" s="34"/>
      <c r="K459" s="5" t="s">
        <v>543</v>
      </c>
      <c r="L459" s="5" t="s">
        <v>298</v>
      </c>
    </row>
    <row r="460" spans="2:14" x14ac:dyDescent="0.25">
      <c r="B460" s="5">
        <v>504</v>
      </c>
      <c r="C460" s="34">
        <v>45572</v>
      </c>
      <c r="D460" s="5" t="s">
        <v>510</v>
      </c>
      <c r="E460" s="36">
        <v>3040</v>
      </c>
      <c r="F460" s="36">
        <f>E460-G460</f>
        <v>0</v>
      </c>
      <c r="G460" s="36">
        <v>3040</v>
      </c>
      <c r="H460" s="34">
        <v>45572</v>
      </c>
      <c r="I460" s="34"/>
      <c r="J460" s="34"/>
      <c r="K460" s="5" t="s">
        <v>720</v>
      </c>
      <c r="L460" s="5" t="s">
        <v>298</v>
      </c>
    </row>
    <row r="461" spans="2:14" x14ac:dyDescent="0.25">
      <c r="B461" s="5">
        <v>471</v>
      </c>
      <c r="C461" s="34">
        <v>45546</v>
      </c>
      <c r="D461" s="5" t="s">
        <v>300</v>
      </c>
      <c r="E461" s="36">
        <v>50</v>
      </c>
      <c r="F461" s="36">
        <f>E461-G461</f>
        <v>0</v>
      </c>
      <c r="G461" s="36">
        <v>50</v>
      </c>
      <c r="H461" s="34">
        <v>45553</v>
      </c>
      <c r="I461" s="34"/>
      <c r="J461" s="34"/>
      <c r="K461" s="5" t="s">
        <v>525</v>
      </c>
    </row>
    <row r="462" spans="2:14" x14ac:dyDescent="0.25">
      <c r="B462" s="5">
        <v>503</v>
      </c>
      <c r="C462" s="34">
        <v>45569</v>
      </c>
      <c r="D462" s="5" t="s">
        <v>328</v>
      </c>
      <c r="E462" s="36">
        <v>18.02</v>
      </c>
      <c r="F462" s="36">
        <f>E462-G462</f>
        <v>0</v>
      </c>
      <c r="G462" s="36">
        <v>18.02</v>
      </c>
      <c r="H462" s="34">
        <v>45572</v>
      </c>
      <c r="I462" s="34"/>
      <c r="J462" s="34"/>
      <c r="K462" s="5" t="s">
        <v>525</v>
      </c>
      <c r="L462" s="5" t="s">
        <v>298</v>
      </c>
    </row>
    <row r="463" spans="2:14" x14ac:dyDescent="0.25">
      <c r="B463" s="5">
        <v>502</v>
      </c>
      <c r="C463" s="34">
        <v>45568</v>
      </c>
      <c r="D463" s="5" t="s">
        <v>23</v>
      </c>
      <c r="E463" s="36">
        <v>136.80000000000001</v>
      </c>
      <c r="F463" s="36">
        <f>E463-G463</f>
        <v>0</v>
      </c>
      <c r="G463" s="36">
        <v>136.80000000000001</v>
      </c>
      <c r="H463" s="34">
        <v>45572</v>
      </c>
      <c r="I463" s="34"/>
      <c r="J463" s="34"/>
      <c r="K463" s="5" t="s">
        <v>765</v>
      </c>
      <c r="L463" s="5" t="s">
        <v>298</v>
      </c>
    </row>
    <row r="464" spans="2:14" x14ac:dyDescent="0.25">
      <c r="B464" s="5">
        <v>478</v>
      </c>
      <c r="C464" s="34">
        <v>45552</v>
      </c>
      <c r="D464" s="5" t="s">
        <v>764</v>
      </c>
      <c r="E464" s="36">
        <v>170</v>
      </c>
      <c r="F464" s="36">
        <f>E464-G464</f>
        <v>0</v>
      </c>
      <c r="G464" s="36">
        <v>170</v>
      </c>
      <c r="H464" s="34">
        <v>45562</v>
      </c>
      <c r="I464" s="34"/>
      <c r="J464" s="34"/>
      <c r="K464" s="5" t="s">
        <v>750</v>
      </c>
    </row>
    <row r="465" spans="2:14" x14ac:dyDescent="0.25">
      <c r="B465" s="5">
        <v>486</v>
      </c>
      <c r="C465" s="34">
        <v>45558</v>
      </c>
      <c r="D465" s="5" t="s">
        <v>498</v>
      </c>
      <c r="E465" s="36">
        <v>240</v>
      </c>
      <c r="F465" s="36">
        <f>E465-G465</f>
        <v>0</v>
      </c>
      <c r="G465" s="36">
        <v>240</v>
      </c>
      <c r="H465" s="34">
        <v>45576</v>
      </c>
      <c r="I465" s="34"/>
      <c r="J465" s="34"/>
      <c r="K465" s="5" t="s">
        <v>711</v>
      </c>
      <c r="L465" s="5" t="s">
        <v>298</v>
      </c>
    </row>
    <row r="466" spans="2:14" x14ac:dyDescent="0.25">
      <c r="B466" s="5">
        <v>521</v>
      </c>
      <c r="C466" s="34">
        <v>45576</v>
      </c>
      <c r="D466" s="5" t="s">
        <v>307</v>
      </c>
      <c r="E466" s="36">
        <v>101.02</v>
      </c>
      <c r="F466" s="36">
        <f>E466-G466</f>
        <v>0</v>
      </c>
      <c r="G466" s="36">
        <v>101.02</v>
      </c>
      <c r="H466" s="34">
        <v>45579</v>
      </c>
      <c r="I466" s="34"/>
      <c r="J466" s="34"/>
      <c r="K466" s="5" t="s">
        <v>401</v>
      </c>
      <c r="L466" s="5" t="s">
        <v>309</v>
      </c>
      <c r="M466" s="5" t="s">
        <v>308</v>
      </c>
    </row>
    <row r="467" spans="2:14" x14ac:dyDescent="0.25">
      <c r="B467" s="5">
        <v>520</v>
      </c>
      <c r="C467" s="34">
        <v>45575</v>
      </c>
      <c r="D467" s="5" t="s">
        <v>183</v>
      </c>
      <c r="E467" s="36">
        <v>74.03</v>
      </c>
      <c r="F467" s="36">
        <f>E467-G467</f>
        <v>0</v>
      </c>
      <c r="G467" s="36">
        <v>74.03</v>
      </c>
      <c r="H467" s="34">
        <v>45582</v>
      </c>
      <c r="I467" s="34"/>
      <c r="J467" s="34"/>
      <c r="K467" s="5" t="s">
        <v>401</v>
      </c>
      <c r="L467" s="5" t="s">
        <v>298</v>
      </c>
    </row>
    <row r="468" spans="2:14" x14ac:dyDescent="0.25">
      <c r="B468" s="5">
        <v>510</v>
      </c>
      <c r="C468" s="34">
        <v>45573</v>
      </c>
      <c r="D468" s="5" t="s">
        <v>370</v>
      </c>
      <c r="E468" s="36">
        <v>601.54</v>
      </c>
      <c r="F468" s="36">
        <f>E468-G468</f>
        <v>0</v>
      </c>
      <c r="G468" s="36">
        <v>601.54</v>
      </c>
      <c r="H468" s="34">
        <v>45580</v>
      </c>
      <c r="I468" s="34"/>
      <c r="J468" s="34"/>
      <c r="K468" s="5" t="s">
        <v>763</v>
      </c>
      <c r="L468" s="5" t="s">
        <v>309</v>
      </c>
      <c r="M468" s="5" t="s">
        <v>308</v>
      </c>
    </row>
    <row r="469" spans="2:14" x14ac:dyDescent="0.25">
      <c r="B469" s="5">
        <v>508</v>
      </c>
      <c r="C469" s="34">
        <v>45573</v>
      </c>
      <c r="D469" s="5" t="s">
        <v>300</v>
      </c>
      <c r="E469" s="36">
        <v>120</v>
      </c>
      <c r="F469" s="36">
        <f>E469-G469</f>
        <v>0</v>
      </c>
      <c r="G469" s="36">
        <v>120</v>
      </c>
      <c r="H469" s="34">
        <v>45580</v>
      </c>
      <c r="I469" s="34"/>
      <c r="J469" s="34"/>
      <c r="K469" s="5" t="s">
        <v>598</v>
      </c>
      <c r="L469" s="5" t="s">
        <v>298</v>
      </c>
    </row>
    <row r="470" spans="2:14" x14ac:dyDescent="0.25">
      <c r="B470" s="5">
        <v>496</v>
      </c>
      <c r="C470" s="34">
        <v>45562</v>
      </c>
      <c r="D470" s="5" t="s">
        <v>436</v>
      </c>
      <c r="E470" s="36">
        <v>400</v>
      </c>
      <c r="F470" s="36">
        <f>E470-G470</f>
        <v>0</v>
      </c>
      <c r="G470" s="36">
        <v>400</v>
      </c>
      <c r="H470" s="34">
        <v>45562</v>
      </c>
      <c r="I470" s="34"/>
      <c r="J470" s="34"/>
      <c r="K470" s="5" t="s">
        <v>762</v>
      </c>
      <c r="L470" s="5" t="s">
        <v>298</v>
      </c>
    </row>
    <row r="471" spans="2:14" x14ac:dyDescent="0.25">
      <c r="B471" s="5">
        <v>518</v>
      </c>
      <c r="C471" s="34">
        <v>45575</v>
      </c>
      <c r="D471" s="5" t="s">
        <v>418</v>
      </c>
      <c r="E471" s="36">
        <v>560</v>
      </c>
      <c r="F471" s="36">
        <f>E471-G471</f>
        <v>0</v>
      </c>
      <c r="G471" s="36">
        <v>560</v>
      </c>
      <c r="H471" s="34">
        <v>45590</v>
      </c>
      <c r="I471" s="34"/>
      <c r="J471" s="34"/>
      <c r="K471" s="5" t="s">
        <v>396</v>
      </c>
      <c r="L471" s="5" t="s">
        <v>298</v>
      </c>
    </row>
    <row r="472" spans="2:14" x14ac:dyDescent="0.25">
      <c r="B472" s="5">
        <v>482</v>
      </c>
      <c r="C472" s="34">
        <v>45554</v>
      </c>
      <c r="D472" s="5" t="s">
        <v>183</v>
      </c>
      <c r="E472" s="36">
        <v>451.23</v>
      </c>
      <c r="F472" s="36">
        <f>E472-G472</f>
        <v>0</v>
      </c>
      <c r="G472" s="36">
        <v>451.23</v>
      </c>
      <c r="H472" s="34">
        <v>45565</v>
      </c>
      <c r="I472" s="34"/>
      <c r="J472" s="34"/>
      <c r="K472" s="5" t="s">
        <v>401</v>
      </c>
      <c r="L472" s="5" t="s">
        <v>309</v>
      </c>
      <c r="M472" s="5" t="s">
        <v>308</v>
      </c>
    </row>
    <row r="473" spans="2:14" x14ac:dyDescent="0.25">
      <c r="B473" s="5">
        <v>519</v>
      </c>
      <c r="C473" s="34">
        <v>45575</v>
      </c>
      <c r="D473" s="5" t="s">
        <v>183</v>
      </c>
      <c r="E473" s="36">
        <v>227.36</v>
      </c>
      <c r="F473" s="36">
        <f>E473-G473</f>
        <v>0</v>
      </c>
      <c r="G473" s="36">
        <v>227.36</v>
      </c>
      <c r="H473" s="34">
        <v>45582</v>
      </c>
      <c r="I473" s="34"/>
      <c r="J473" s="34"/>
      <c r="K473" s="5" t="s">
        <v>759</v>
      </c>
      <c r="L473" s="5" t="s">
        <v>298</v>
      </c>
      <c r="N473" s="45"/>
    </row>
    <row r="474" spans="2:14" x14ac:dyDescent="0.25">
      <c r="B474" s="5">
        <v>524</v>
      </c>
      <c r="C474" s="34">
        <v>45579</v>
      </c>
      <c r="D474" s="5" t="s">
        <v>328</v>
      </c>
      <c r="E474" s="33">
        <v>294</v>
      </c>
      <c r="F474" s="33">
        <f>E474-G474</f>
        <v>0</v>
      </c>
      <c r="G474" s="33">
        <v>294</v>
      </c>
      <c r="H474" s="34">
        <v>45581</v>
      </c>
      <c r="I474" s="34"/>
      <c r="J474" s="34"/>
      <c r="K474" s="5" t="s">
        <v>759</v>
      </c>
      <c r="L474" s="5" t="s">
        <v>298</v>
      </c>
    </row>
    <row r="475" spans="2:14" x14ac:dyDescent="0.25">
      <c r="B475" s="5">
        <v>446</v>
      </c>
      <c r="C475" s="34">
        <v>45504</v>
      </c>
      <c r="D475" s="5" t="s">
        <v>636</v>
      </c>
      <c r="E475" s="33">
        <v>500</v>
      </c>
      <c r="F475" s="33">
        <f>E475-G475</f>
        <v>0</v>
      </c>
      <c r="G475" s="33">
        <v>500</v>
      </c>
      <c r="H475" s="34">
        <v>45565</v>
      </c>
      <c r="I475" s="34"/>
      <c r="J475" s="34"/>
      <c r="K475" s="5" t="s">
        <v>761</v>
      </c>
      <c r="L475" s="5" t="s">
        <v>298</v>
      </c>
    </row>
    <row r="476" spans="2:14" x14ac:dyDescent="0.25">
      <c r="B476" s="5">
        <v>455</v>
      </c>
      <c r="C476" s="34">
        <v>45511</v>
      </c>
      <c r="D476" s="5" t="s">
        <v>395</v>
      </c>
      <c r="E476" s="33">
        <v>9000</v>
      </c>
      <c r="F476" s="33">
        <f>E476-G476</f>
        <v>0</v>
      </c>
      <c r="G476" s="33">
        <v>9000</v>
      </c>
      <c r="H476" s="34">
        <v>45565</v>
      </c>
      <c r="I476" s="34"/>
      <c r="J476" s="34"/>
      <c r="K476" s="5" t="s">
        <v>396</v>
      </c>
      <c r="L476" s="5" t="s">
        <v>298</v>
      </c>
    </row>
    <row r="477" spans="2:14" x14ac:dyDescent="0.25">
      <c r="B477" s="5">
        <v>483</v>
      </c>
      <c r="C477" s="34">
        <v>45554</v>
      </c>
      <c r="D477" s="5" t="s">
        <v>183</v>
      </c>
      <c r="E477" s="36">
        <v>63.13</v>
      </c>
      <c r="F477" s="36">
        <f>E477-G477</f>
        <v>0</v>
      </c>
      <c r="G477" s="36">
        <v>63.13</v>
      </c>
      <c r="H477" s="34">
        <v>45565</v>
      </c>
      <c r="I477" s="34"/>
      <c r="J477" s="34"/>
      <c r="K477" s="5" t="s">
        <v>401</v>
      </c>
      <c r="L477" s="5" t="s">
        <v>303</v>
      </c>
      <c r="M477" s="5" t="s">
        <v>308</v>
      </c>
    </row>
    <row r="478" spans="2:14" x14ac:dyDescent="0.25">
      <c r="B478" s="5">
        <v>490</v>
      </c>
      <c r="C478" s="34">
        <v>45560</v>
      </c>
      <c r="D478" s="5" t="s">
        <v>23</v>
      </c>
      <c r="E478" s="33">
        <v>1105.8800000000001</v>
      </c>
      <c r="F478" s="33">
        <f>E478-G478</f>
        <v>0</v>
      </c>
      <c r="G478" s="33">
        <v>1105.8800000000001</v>
      </c>
      <c r="H478" s="34">
        <v>45565</v>
      </c>
      <c r="I478" s="34"/>
      <c r="J478" s="34"/>
      <c r="K478" s="5" t="s">
        <v>598</v>
      </c>
      <c r="L478" s="5" t="s">
        <v>298</v>
      </c>
      <c r="N478" s="5"/>
    </row>
    <row r="479" spans="2:14" x14ac:dyDescent="0.25">
      <c r="B479" s="5">
        <v>511</v>
      </c>
      <c r="C479" s="34">
        <v>45574</v>
      </c>
      <c r="D479" s="5" t="s">
        <v>300</v>
      </c>
      <c r="E479" s="33">
        <v>80</v>
      </c>
      <c r="F479" s="33">
        <f>E479-G479</f>
        <v>0</v>
      </c>
      <c r="G479" s="33">
        <v>80</v>
      </c>
      <c r="H479" s="34">
        <v>45581</v>
      </c>
      <c r="I479" s="34"/>
      <c r="J479" s="34"/>
      <c r="K479" s="5" t="s">
        <v>735</v>
      </c>
    </row>
    <row r="480" spans="2:14" x14ac:dyDescent="0.25">
      <c r="B480" s="5">
        <v>512</v>
      </c>
      <c r="C480" s="34">
        <v>45575</v>
      </c>
      <c r="D480" s="5" t="s">
        <v>371</v>
      </c>
      <c r="E480" s="33">
        <v>3610</v>
      </c>
      <c r="F480" s="33">
        <f>E480-G480</f>
        <v>0</v>
      </c>
      <c r="G480" s="33">
        <v>3610</v>
      </c>
      <c r="H480" s="34">
        <v>45589</v>
      </c>
      <c r="I480" s="34"/>
      <c r="J480" s="34"/>
      <c r="K480" s="5" t="s">
        <v>603</v>
      </c>
      <c r="L480" s="5" t="s">
        <v>298</v>
      </c>
    </row>
    <row r="481" spans="2:14" x14ac:dyDescent="0.25">
      <c r="B481" s="5">
        <v>513</v>
      </c>
      <c r="C481" s="34">
        <v>45575</v>
      </c>
      <c r="D481" s="5" t="s">
        <v>371</v>
      </c>
      <c r="E481" s="33">
        <v>480</v>
      </c>
      <c r="F481" s="33">
        <f>E481-G481</f>
        <v>0</v>
      </c>
      <c r="G481" s="33">
        <v>480</v>
      </c>
      <c r="H481" s="34">
        <v>45589</v>
      </c>
      <c r="I481" s="34"/>
      <c r="J481" s="34"/>
      <c r="K481" s="5" t="s">
        <v>752</v>
      </c>
      <c r="L481" s="5" t="s">
        <v>298</v>
      </c>
    </row>
    <row r="482" spans="2:14" x14ac:dyDescent="0.25">
      <c r="B482" s="5">
        <v>539</v>
      </c>
      <c r="C482" s="34">
        <v>45583</v>
      </c>
      <c r="D482" s="5" t="s">
        <v>501</v>
      </c>
      <c r="E482" s="40">
        <v>500</v>
      </c>
      <c r="F482" s="33">
        <f>E482-G482</f>
        <v>0</v>
      </c>
      <c r="G482" s="40">
        <v>500</v>
      </c>
      <c r="H482" s="34">
        <v>45583</v>
      </c>
      <c r="I482" s="34"/>
      <c r="J482" s="34"/>
      <c r="K482" s="5" t="s">
        <v>760</v>
      </c>
      <c r="L482" s="5" t="s">
        <v>298</v>
      </c>
    </row>
    <row r="483" spans="2:14" x14ac:dyDescent="0.25">
      <c r="B483" s="5">
        <v>525</v>
      </c>
      <c r="C483" s="34">
        <v>45579</v>
      </c>
      <c r="D483" s="5" t="s">
        <v>307</v>
      </c>
      <c r="E483" s="36">
        <v>1603.92</v>
      </c>
      <c r="F483" s="36">
        <f>E483-G483</f>
        <v>0</v>
      </c>
      <c r="G483" s="36">
        <v>1603.92</v>
      </c>
      <c r="H483" s="34">
        <v>45581</v>
      </c>
      <c r="I483" s="34"/>
      <c r="J483" s="34"/>
      <c r="K483" s="5" t="s">
        <v>759</v>
      </c>
      <c r="L483" s="5" t="s">
        <v>298</v>
      </c>
    </row>
    <row r="484" spans="2:14" x14ac:dyDescent="0.25">
      <c r="B484" s="5">
        <v>514</v>
      </c>
      <c r="C484" s="34">
        <v>45575</v>
      </c>
      <c r="D484" s="5" t="s">
        <v>537</v>
      </c>
      <c r="E484" s="36">
        <v>180</v>
      </c>
      <c r="F484" s="36">
        <f>E484-G484</f>
        <v>0</v>
      </c>
      <c r="G484" s="36">
        <v>180</v>
      </c>
      <c r="H484" s="34">
        <v>45580</v>
      </c>
      <c r="I484" s="34"/>
      <c r="J484" s="34"/>
      <c r="K484" s="5" t="s">
        <v>525</v>
      </c>
      <c r="L484" s="5" t="s">
        <v>298</v>
      </c>
    </row>
    <row r="485" spans="2:14" x14ac:dyDescent="0.25">
      <c r="B485" s="5">
        <v>515</v>
      </c>
      <c r="C485" s="34">
        <v>45575</v>
      </c>
      <c r="D485" s="5" t="s">
        <v>537</v>
      </c>
      <c r="E485" s="36">
        <v>204</v>
      </c>
      <c r="F485" s="36">
        <f>E485-G485</f>
        <v>0</v>
      </c>
      <c r="G485" s="36">
        <v>204</v>
      </c>
      <c r="H485" s="34">
        <v>45580</v>
      </c>
      <c r="I485" s="34"/>
      <c r="J485" s="34"/>
      <c r="K485" s="5" t="s">
        <v>758</v>
      </c>
      <c r="L485" s="5" t="s">
        <v>298</v>
      </c>
    </row>
    <row r="486" spans="2:14" x14ac:dyDescent="0.25">
      <c r="B486" s="5">
        <v>517</v>
      </c>
      <c r="C486" s="34">
        <v>45575</v>
      </c>
      <c r="D486" s="5" t="s">
        <v>537</v>
      </c>
      <c r="E486" s="36">
        <v>333</v>
      </c>
      <c r="F486" s="36">
        <f>E486-G486</f>
        <v>0</v>
      </c>
      <c r="G486" s="36">
        <v>333</v>
      </c>
      <c r="H486" s="34">
        <v>45580</v>
      </c>
      <c r="I486" s="34"/>
      <c r="J486" s="34"/>
      <c r="K486" s="5" t="s">
        <v>735</v>
      </c>
      <c r="L486" s="5" t="s">
        <v>298</v>
      </c>
    </row>
    <row r="487" spans="2:14" x14ac:dyDescent="0.25">
      <c r="B487" s="5">
        <v>419</v>
      </c>
      <c r="C487" s="34">
        <v>45489</v>
      </c>
      <c r="D487" s="5" t="s">
        <v>404</v>
      </c>
      <c r="E487" s="36">
        <v>21671.29</v>
      </c>
      <c r="F487" s="36">
        <f>E487-G487</f>
        <v>0</v>
      </c>
      <c r="G487" s="36">
        <v>21671.29</v>
      </c>
      <c r="H487" s="34">
        <v>45545</v>
      </c>
      <c r="I487" s="34"/>
      <c r="J487" s="34"/>
      <c r="K487" s="5" t="s">
        <v>684</v>
      </c>
      <c r="L487" s="5" t="s">
        <v>303</v>
      </c>
      <c r="N487" s="45"/>
    </row>
    <row r="488" spans="2:14" x14ac:dyDescent="0.25">
      <c r="B488" s="5">
        <v>530</v>
      </c>
      <c r="C488" s="34">
        <v>45582</v>
      </c>
      <c r="D488" s="5" t="s">
        <v>395</v>
      </c>
      <c r="E488" s="36">
        <v>1345</v>
      </c>
      <c r="F488" s="36">
        <f>E488-G488</f>
        <v>0</v>
      </c>
      <c r="G488" s="36">
        <v>1345</v>
      </c>
      <c r="H488" s="34">
        <v>45582</v>
      </c>
      <c r="I488" s="34"/>
      <c r="J488" s="34"/>
      <c r="K488" s="5" t="s">
        <v>396</v>
      </c>
      <c r="L488" s="5" t="s">
        <v>298</v>
      </c>
    </row>
    <row r="489" spans="2:14" x14ac:dyDescent="0.25">
      <c r="B489" s="5">
        <v>523</v>
      </c>
      <c r="C489" s="34">
        <v>45579</v>
      </c>
      <c r="D489" s="5" t="s">
        <v>402</v>
      </c>
      <c r="E489" s="36">
        <v>21</v>
      </c>
      <c r="F489" s="36">
        <f>E489-G489</f>
        <v>0</v>
      </c>
      <c r="G489" s="36">
        <v>21</v>
      </c>
      <c r="H489" s="34">
        <v>45586</v>
      </c>
      <c r="I489" s="34"/>
      <c r="J489" s="34"/>
      <c r="K489" s="5" t="s">
        <v>525</v>
      </c>
      <c r="L489" s="5" t="s">
        <v>298</v>
      </c>
    </row>
    <row r="490" spans="2:14" x14ac:dyDescent="0.25">
      <c r="B490" s="5">
        <v>493</v>
      </c>
      <c r="C490" s="34">
        <v>45561</v>
      </c>
      <c r="D490" s="5" t="s">
        <v>357</v>
      </c>
      <c r="E490" s="36">
        <v>202.07</v>
      </c>
      <c r="F490" s="36">
        <f>E490-G490</f>
        <v>0</v>
      </c>
      <c r="G490" s="36">
        <v>202.07</v>
      </c>
      <c r="H490" s="34">
        <v>45569</v>
      </c>
      <c r="I490" s="34"/>
      <c r="J490" s="34"/>
      <c r="K490" s="5" t="s">
        <v>598</v>
      </c>
      <c r="L490" s="5" t="s">
        <v>303</v>
      </c>
    </row>
    <row r="491" spans="2:14" x14ac:dyDescent="0.25">
      <c r="B491" s="5">
        <v>540</v>
      </c>
      <c r="C491" s="34">
        <v>45586</v>
      </c>
      <c r="D491" s="5" t="s">
        <v>173</v>
      </c>
      <c r="E491" s="33">
        <v>175.75</v>
      </c>
      <c r="F491" s="33">
        <f>E491-G491</f>
        <v>0</v>
      </c>
      <c r="G491" s="33">
        <v>175.75</v>
      </c>
      <c r="H491" s="34">
        <v>45588</v>
      </c>
      <c r="I491" s="34"/>
      <c r="J491" s="34"/>
      <c r="K491" s="5" t="s">
        <v>752</v>
      </c>
      <c r="L491" s="5" t="s">
        <v>298</v>
      </c>
    </row>
    <row r="492" spans="2:14" x14ac:dyDescent="0.25">
      <c r="B492" s="5">
        <v>528</v>
      </c>
      <c r="C492" s="34">
        <v>45581</v>
      </c>
      <c r="D492" s="5" t="s">
        <v>173</v>
      </c>
      <c r="E492" s="33">
        <v>190.7</v>
      </c>
      <c r="F492" s="33">
        <f>E492-G492</f>
        <v>0</v>
      </c>
      <c r="G492" s="33">
        <v>190.7</v>
      </c>
      <c r="H492" s="34">
        <v>45588</v>
      </c>
      <c r="I492" s="34"/>
      <c r="J492" s="34"/>
      <c r="K492" s="5" t="s">
        <v>757</v>
      </c>
      <c r="L492" s="5" t="s">
        <v>298</v>
      </c>
    </row>
    <row r="493" spans="2:14" x14ac:dyDescent="0.25">
      <c r="B493" s="5">
        <v>546</v>
      </c>
      <c r="C493" s="34">
        <v>45587</v>
      </c>
      <c r="D493" s="5" t="s">
        <v>370</v>
      </c>
      <c r="E493" s="33">
        <v>75.989999999999995</v>
      </c>
      <c r="F493" s="33">
        <f>E493-G493</f>
        <v>0</v>
      </c>
      <c r="G493" s="33">
        <v>75.989999999999995</v>
      </c>
      <c r="H493" s="34">
        <v>45594</v>
      </c>
      <c r="I493" s="34"/>
      <c r="J493" s="34"/>
      <c r="K493" s="5" t="s">
        <v>719</v>
      </c>
      <c r="L493" s="5" t="s">
        <v>298</v>
      </c>
    </row>
    <row r="494" spans="2:14" x14ac:dyDescent="0.25">
      <c r="B494" s="5">
        <v>535</v>
      </c>
      <c r="C494" s="34">
        <v>45582</v>
      </c>
      <c r="D494" s="5" t="s">
        <v>169</v>
      </c>
      <c r="E494" s="33">
        <v>600</v>
      </c>
      <c r="F494" s="33">
        <f>E494-G494</f>
        <v>0</v>
      </c>
      <c r="G494" s="33">
        <v>600</v>
      </c>
      <c r="H494" s="34">
        <v>45590</v>
      </c>
      <c r="I494" s="34"/>
      <c r="J494" s="34"/>
      <c r="K494" s="5" t="s">
        <v>396</v>
      </c>
      <c r="L494" s="5" t="s">
        <v>298</v>
      </c>
    </row>
    <row r="495" spans="2:14" x14ac:dyDescent="0.25">
      <c r="B495" s="5">
        <v>550</v>
      </c>
      <c r="C495" s="34">
        <v>45589</v>
      </c>
      <c r="D495" s="5" t="s">
        <v>169</v>
      </c>
      <c r="E495" s="33">
        <v>200</v>
      </c>
      <c r="F495" s="33">
        <f>E495-G495</f>
        <v>0</v>
      </c>
      <c r="G495" s="33">
        <v>200</v>
      </c>
      <c r="H495" s="34">
        <v>45589</v>
      </c>
      <c r="I495" s="34"/>
      <c r="J495" s="34"/>
      <c r="K495" s="5" t="s">
        <v>396</v>
      </c>
      <c r="L495" s="5" t="s">
        <v>298</v>
      </c>
    </row>
    <row r="496" spans="2:14" x14ac:dyDescent="0.25">
      <c r="B496" s="5">
        <v>544</v>
      </c>
      <c r="C496" s="34">
        <v>45586</v>
      </c>
      <c r="D496" s="5" t="s">
        <v>23</v>
      </c>
      <c r="E496" s="33">
        <v>80.08</v>
      </c>
      <c r="F496" s="33">
        <f>E496-G496</f>
        <v>0</v>
      </c>
      <c r="G496" s="33">
        <v>80.08</v>
      </c>
      <c r="H496" s="34">
        <v>45590</v>
      </c>
      <c r="I496" s="34"/>
      <c r="J496" s="34"/>
      <c r="K496" s="5" t="s">
        <v>505</v>
      </c>
      <c r="L496" s="5" t="s">
        <v>298</v>
      </c>
    </row>
    <row r="497" spans="2:14" x14ac:dyDescent="0.25">
      <c r="B497" s="5">
        <v>547</v>
      </c>
      <c r="C497" s="34">
        <v>45587</v>
      </c>
      <c r="D497" s="5" t="s">
        <v>307</v>
      </c>
      <c r="E497" s="33">
        <v>1375.63</v>
      </c>
      <c r="F497" s="33">
        <f>E497-G497</f>
        <v>0</v>
      </c>
      <c r="G497" s="33">
        <v>1375.63</v>
      </c>
      <c r="H497" s="34">
        <v>45594</v>
      </c>
      <c r="I497" s="34"/>
      <c r="J497" s="34"/>
      <c r="K497" s="5" t="s">
        <v>505</v>
      </c>
      <c r="L497" s="5" t="s">
        <v>298</v>
      </c>
    </row>
    <row r="498" spans="2:14" x14ac:dyDescent="0.25">
      <c r="B498" s="5">
        <v>488</v>
      </c>
      <c r="C498" s="34">
        <v>45558</v>
      </c>
      <c r="D498" s="5" t="s">
        <v>436</v>
      </c>
      <c r="E498" s="33">
        <v>120</v>
      </c>
      <c r="F498" s="33">
        <f>E498-G498</f>
        <v>0</v>
      </c>
      <c r="G498" s="33">
        <v>120</v>
      </c>
      <c r="H498" s="34">
        <v>45587</v>
      </c>
      <c r="I498" s="34"/>
      <c r="J498" s="34"/>
      <c r="K498" s="5" t="s">
        <v>711</v>
      </c>
      <c r="L498" s="5" t="s">
        <v>298</v>
      </c>
    </row>
    <row r="499" spans="2:14" x14ac:dyDescent="0.25">
      <c r="B499" s="5">
        <v>494</v>
      </c>
      <c r="C499" s="34">
        <v>45561</v>
      </c>
      <c r="D499" s="5" t="s">
        <v>756</v>
      </c>
      <c r="E499" s="36">
        <v>97.7</v>
      </c>
      <c r="F499" s="36">
        <f>E499-G499</f>
        <v>0</v>
      </c>
      <c r="G499" s="36">
        <v>97.7</v>
      </c>
      <c r="H499" s="34">
        <v>45569</v>
      </c>
      <c r="I499" s="34"/>
      <c r="J499" s="34"/>
      <c r="K499" s="5" t="s">
        <v>571</v>
      </c>
      <c r="L499" s="5" t="s">
        <v>298</v>
      </c>
    </row>
    <row r="500" spans="2:14" x14ac:dyDescent="0.25">
      <c r="B500" s="5">
        <v>549</v>
      </c>
      <c r="C500" s="34">
        <v>45589</v>
      </c>
      <c r="D500" s="5" t="s">
        <v>183</v>
      </c>
      <c r="E500" s="36">
        <v>139.27000000000001</v>
      </c>
      <c r="F500" s="36">
        <f>E500-G500</f>
        <v>0</v>
      </c>
      <c r="G500" s="36">
        <v>139.27000000000001</v>
      </c>
      <c r="H500" s="34">
        <v>45596</v>
      </c>
      <c r="I500" s="34"/>
      <c r="J500" s="34"/>
      <c r="K500" s="5" t="s">
        <v>505</v>
      </c>
      <c r="L500" s="5" t="s">
        <v>303</v>
      </c>
      <c r="N500" s="5"/>
    </row>
    <row r="501" spans="2:14" x14ac:dyDescent="0.25">
      <c r="B501" s="5">
        <v>516</v>
      </c>
      <c r="C501" s="34">
        <v>45575</v>
      </c>
      <c r="D501" s="5" t="s">
        <v>537</v>
      </c>
      <c r="E501" s="36">
        <v>191.25</v>
      </c>
      <c r="F501" s="36">
        <f>E501-G501</f>
        <v>0</v>
      </c>
      <c r="G501" s="36">
        <v>191.25</v>
      </c>
      <c r="H501" s="34">
        <v>45580</v>
      </c>
      <c r="I501" s="34"/>
      <c r="J501" s="34"/>
      <c r="K501" s="5" t="s">
        <v>684</v>
      </c>
      <c r="L501" s="5" t="s">
        <v>303</v>
      </c>
    </row>
    <row r="502" spans="2:14" x14ac:dyDescent="0.25">
      <c r="B502" s="5">
        <v>534</v>
      </c>
      <c r="C502" s="34">
        <v>45582</v>
      </c>
      <c r="D502" s="5" t="s">
        <v>371</v>
      </c>
      <c r="E502" s="36">
        <v>1780</v>
      </c>
      <c r="F502" s="36">
        <f>E502-G502</f>
        <v>0</v>
      </c>
      <c r="G502" s="36">
        <v>1780</v>
      </c>
      <c r="H502" s="34">
        <v>45611</v>
      </c>
      <c r="I502" s="34"/>
      <c r="J502" s="34"/>
      <c r="K502" s="5" t="s">
        <v>603</v>
      </c>
      <c r="L502" s="5" t="s">
        <v>298</v>
      </c>
    </row>
    <row r="503" spans="2:14" x14ac:dyDescent="0.25">
      <c r="B503" s="5">
        <v>541</v>
      </c>
      <c r="C503" s="34">
        <v>45586</v>
      </c>
      <c r="D503" s="5" t="s">
        <v>300</v>
      </c>
      <c r="E503" s="33">
        <v>150</v>
      </c>
      <c r="F503" s="33">
        <f>E503-G503</f>
        <v>0</v>
      </c>
      <c r="G503" s="33">
        <v>150</v>
      </c>
      <c r="H503" s="34">
        <v>45593</v>
      </c>
      <c r="I503" s="34"/>
      <c r="J503" s="34"/>
      <c r="K503" s="5" t="s">
        <v>598</v>
      </c>
      <c r="L503" s="5" t="s">
        <v>298</v>
      </c>
    </row>
    <row r="504" spans="2:14" x14ac:dyDescent="0.25">
      <c r="B504" s="5">
        <v>542</v>
      </c>
      <c r="C504" s="34">
        <v>45586</v>
      </c>
      <c r="D504" s="5" t="s">
        <v>300</v>
      </c>
      <c r="E504" s="33">
        <v>100</v>
      </c>
      <c r="F504" s="33">
        <f>E504-G504</f>
        <v>0</v>
      </c>
      <c r="G504" s="33">
        <v>100</v>
      </c>
      <c r="H504" s="34">
        <v>45593</v>
      </c>
      <c r="I504" s="34"/>
      <c r="J504" s="34"/>
      <c r="K504" s="5" t="s">
        <v>740</v>
      </c>
      <c r="L504" s="5" t="s">
        <v>298</v>
      </c>
    </row>
    <row r="505" spans="2:14" x14ac:dyDescent="0.25">
      <c r="B505" s="5">
        <v>500</v>
      </c>
      <c r="C505" s="34">
        <v>45568</v>
      </c>
      <c r="D505" s="5" t="s">
        <v>470</v>
      </c>
      <c r="E505" s="36">
        <v>2600</v>
      </c>
      <c r="F505" s="36">
        <f>E505-G505</f>
        <v>0</v>
      </c>
      <c r="G505" s="36">
        <v>2600</v>
      </c>
      <c r="H505" s="34">
        <v>45596</v>
      </c>
      <c r="I505" s="34"/>
      <c r="J505" s="34"/>
      <c r="K505" s="5" t="s">
        <v>755</v>
      </c>
      <c r="L505" s="5" t="s">
        <v>309</v>
      </c>
    </row>
    <row r="506" spans="2:14" x14ac:dyDescent="0.25">
      <c r="B506" s="5">
        <v>570</v>
      </c>
      <c r="C506" s="34">
        <v>45601</v>
      </c>
      <c r="D506" s="5" t="s">
        <v>510</v>
      </c>
      <c r="E506" s="36">
        <v>3648</v>
      </c>
      <c r="G506" s="100">
        <v>3648</v>
      </c>
      <c r="H506" s="34">
        <v>45601</v>
      </c>
      <c r="I506" s="34"/>
      <c r="J506" s="34"/>
      <c r="K506" s="5" t="s">
        <v>720</v>
      </c>
      <c r="L506" s="5" t="s">
        <v>298</v>
      </c>
    </row>
    <row r="507" spans="2:14" x14ac:dyDescent="0.25">
      <c r="B507" s="5">
        <v>532</v>
      </c>
      <c r="C507" s="34">
        <v>45582</v>
      </c>
      <c r="D507" s="5">
        <v>1855</v>
      </c>
      <c r="E507" s="36">
        <v>40</v>
      </c>
      <c r="F507" s="36">
        <f>E507-G507</f>
        <v>0</v>
      </c>
      <c r="G507" s="36">
        <v>40</v>
      </c>
      <c r="H507" s="34">
        <v>45587</v>
      </c>
      <c r="I507" s="34"/>
      <c r="J507" s="34"/>
      <c r="K507" s="5" t="s">
        <v>754</v>
      </c>
      <c r="L507" s="5" t="s">
        <v>298</v>
      </c>
    </row>
    <row r="508" spans="2:14" x14ac:dyDescent="0.25">
      <c r="B508" s="5">
        <v>505</v>
      </c>
      <c r="C508" s="34">
        <v>45572</v>
      </c>
      <c r="D508" s="5" t="s">
        <v>621</v>
      </c>
      <c r="E508" s="36">
        <v>999.2</v>
      </c>
      <c r="F508" s="36">
        <f>E508-G508</f>
        <v>0</v>
      </c>
      <c r="G508" s="36">
        <v>999.2</v>
      </c>
      <c r="H508" s="34">
        <v>45601</v>
      </c>
      <c r="I508" s="34"/>
      <c r="J508" s="34"/>
      <c r="K508" s="5" t="s">
        <v>598</v>
      </c>
      <c r="L508" s="5" t="s">
        <v>298</v>
      </c>
    </row>
    <row r="509" spans="2:14" x14ac:dyDescent="0.25">
      <c r="B509" s="5">
        <v>553</v>
      </c>
      <c r="C509" s="34">
        <v>45594</v>
      </c>
      <c r="D509" s="5" t="s">
        <v>252</v>
      </c>
      <c r="E509" s="36">
        <v>115</v>
      </c>
      <c r="F509" s="36">
        <f>E509-G509</f>
        <v>0</v>
      </c>
      <c r="G509" s="36">
        <v>115</v>
      </c>
      <c r="H509" s="34">
        <v>45602</v>
      </c>
      <c r="I509" s="34"/>
      <c r="J509" s="34">
        <v>45600</v>
      </c>
      <c r="K509" s="5" t="s">
        <v>753</v>
      </c>
      <c r="L509" s="5" t="s">
        <v>309</v>
      </c>
      <c r="M509" s="5" t="s">
        <v>308</v>
      </c>
    </row>
    <row r="510" spans="2:14" x14ac:dyDescent="0.25">
      <c r="B510" s="5">
        <v>464</v>
      </c>
      <c r="C510" s="34">
        <v>45538</v>
      </c>
      <c r="D510" s="5" t="s">
        <v>371</v>
      </c>
      <c r="E510" s="36">
        <v>2532</v>
      </c>
      <c r="F510" s="36">
        <f>E510-G510</f>
        <v>0</v>
      </c>
      <c r="G510" s="36">
        <v>2532</v>
      </c>
      <c r="H510" s="34">
        <v>45541</v>
      </c>
      <c r="I510" s="34"/>
      <c r="J510" s="34"/>
      <c r="K510" s="5" t="s">
        <v>752</v>
      </c>
      <c r="L510" s="5" t="s">
        <v>298</v>
      </c>
    </row>
    <row r="511" spans="2:14" x14ac:dyDescent="0.25">
      <c r="B511" s="5">
        <v>561</v>
      </c>
      <c r="C511" s="34">
        <v>45596</v>
      </c>
      <c r="D511" s="5" t="s">
        <v>300</v>
      </c>
      <c r="E511" s="36">
        <v>14</v>
      </c>
      <c r="F511" s="36">
        <f>E511-G511</f>
        <v>0</v>
      </c>
      <c r="G511" s="36">
        <v>14</v>
      </c>
      <c r="H511" s="34">
        <v>45604</v>
      </c>
      <c r="I511" s="34"/>
      <c r="J511" s="34"/>
      <c r="K511" s="5" t="s">
        <v>525</v>
      </c>
      <c r="L511" s="5" t="s">
        <v>298</v>
      </c>
    </row>
    <row r="512" spans="2:14" x14ac:dyDescent="0.25">
      <c r="B512" s="5">
        <v>562</v>
      </c>
      <c r="C512" s="34">
        <v>45596</v>
      </c>
      <c r="D512" s="5" t="s">
        <v>300</v>
      </c>
      <c r="E512" s="36">
        <v>74.5</v>
      </c>
      <c r="F512" s="36">
        <f>E512-G512</f>
        <v>0</v>
      </c>
      <c r="G512" s="36">
        <v>74.5</v>
      </c>
      <c r="H512" s="34">
        <v>45604</v>
      </c>
      <c r="I512" s="34"/>
      <c r="J512" s="34"/>
      <c r="K512" s="5" t="s">
        <v>751</v>
      </c>
      <c r="L512" s="5" t="s">
        <v>298</v>
      </c>
    </row>
    <row r="513" spans="2:14" x14ac:dyDescent="0.25">
      <c r="B513" s="5">
        <v>575</v>
      </c>
      <c r="C513" s="34">
        <v>45602</v>
      </c>
      <c r="D513" s="5" t="s">
        <v>331</v>
      </c>
      <c r="E513" s="36">
        <v>119.83</v>
      </c>
      <c r="F513" s="36">
        <f>E513-G513</f>
        <v>0</v>
      </c>
      <c r="G513" s="36">
        <v>119.83</v>
      </c>
      <c r="H513" s="34">
        <v>45604</v>
      </c>
      <c r="I513" s="34"/>
      <c r="J513" s="34"/>
      <c r="K513" s="5" t="s">
        <v>684</v>
      </c>
      <c r="L513" s="5" t="s">
        <v>298</v>
      </c>
    </row>
    <row r="514" spans="2:14" x14ac:dyDescent="0.25">
      <c r="B514" s="5">
        <v>543</v>
      </c>
      <c r="C514" s="34">
        <v>45586</v>
      </c>
      <c r="D514" s="5" t="s">
        <v>316</v>
      </c>
      <c r="E514" s="36">
        <v>330.86</v>
      </c>
      <c r="F514" s="36">
        <f>E514-G514</f>
        <v>0</v>
      </c>
      <c r="G514" s="36">
        <v>330.86</v>
      </c>
      <c r="H514" s="34">
        <v>45602</v>
      </c>
      <c r="I514" s="34"/>
      <c r="J514" s="34"/>
      <c r="K514" s="5" t="s">
        <v>598</v>
      </c>
      <c r="L514" s="5" t="s">
        <v>309</v>
      </c>
      <c r="M514" s="5" t="s">
        <v>308</v>
      </c>
    </row>
    <row r="515" spans="2:14" x14ac:dyDescent="0.25">
      <c r="B515" s="5">
        <v>571</v>
      </c>
      <c r="C515" s="34">
        <v>45601</v>
      </c>
      <c r="D515" s="5" t="s">
        <v>375</v>
      </c>
      <c r="E515" s="36">
        <v>65.94</v>
      </c>
      <c r="F515" s="36">
        <f>E515-G515</f>
        <v>0</v>
      </c>
      <c r="G515" s="36">
        <v>65.94</v>
      </c>
      <c r="H515" s="34">
        <v>45604</v>
      </c>
      <c r="I515" s="34"/>
      <c r="J515" s="34"/>
      <c r="K515" s="5" t="s">
        <v>454</v>
      </c>
      <c r="L515" s="5" t="s">
        <v>298</v>
      </c>
    </row>
    <row r="516" spans="2:14" x14ac:dyDescent="0.25">
      <c r="B516" s="5">
        <v>479</v>
      </c>
      <c r="C516" s="34">
        <v>45552</v>
      </c>
      <c r="D516" s="5" t="s">
        <v>436</v>
      </c>
      <c r="E516" s="36">
        <v>120</v>
      </c>
      <c r="F516" s="36">
        <f>E516-G516</f>
        <v>0</v>
      </c>
      <c r="G516" s="36">
        <v>120</v>
      </c>
      <c r="H516" s="34">
        <v>45595</v>
      </c>
      <c r="I516" s="34"/>
      <c r="J516" s="34"/>
      <c r="K516" s="5" t="s">
        <v>750</v>
      </c>
      <c r="L516" s="5" t="s">
        <v>298</v>
      </c>
      <c r="N516" s="5"/>
    </row>
    <row r="517" spans="2:14" x14ac:dyDescent="0.25">
      <c r="B517" s="5">
        <v>501</v>
      </c>
      <c r="C517" s="34">
        <v>45568</v>
      </c>
      <c r="D517" s="5" t="s">
        <v>436</v>
      </c>
      <c r="E517" s="36">
        <v>440</v>
      </c>
      <c r="F517" s="36">
        <f>E517-G517</f>
        <v>0</v>
      </c>
      <c r="G517" s="36">
        <v>440</v>
      </c>
      <c r="H517" s="34">
        <v>45575</v>
      </c>
      <c r="I517" s="34"/>
      <c r="J517" s="34"/>
      <c r="K517" s="5" t="s">
        <v>598</v>
      </c>
      <c r="L517" s="5" t="s">
        <v>298</v>
      </c>
      <c r="N517" s="5"/>
    </row>
    <row r="518" spans="2:14" x14ac:dyDescent="0.25">
      <c r="B518" s="5">
        <v>467</v>
      </c>
      <c r="C518" s="34">
        <v>45539</v>
      </c>
      <c r="D518" s="5" t="s">
        <v>436</v>
      </c>
      <c r="E518" s="36">
        <v>560</v>
      </c>
      <c r="F518" s="36">
        <f>E518-G518</f>
        <v>0</v>
      </c>
      <c r="G518" s="36">
        <v>560</v>
      </c>
      <c r="H518" s="34">
        <v>45546</v>
      </c>
      <c r="I518" s="34"/>
      <c r="J518" s="34"/>
      <c r="K518" s="5" t="s">
        <v>525</v>
      </c>
      <c r="L518" s="5" t="s">
        <v>298</v>
      </c>
    </row>
    <row r="519" spans="2:14" x14ac:dyDescent="0.25">
      <c r="B519" s="5">
        <v>558</v>
      </c>
      <c r="C519" s="34">
        <v>45595</v>
      </c>
      <c r="D519" s="5" t="s">
        <v>749</v>
      </c>
      <c r="E519" s="36">
        <v>355</v>
      </c>
      <c r="F519" s="36">
        <f>E519-G519</f>
        <v>0</v>
      </c>
      <c r="G519" s="36">
        <v>355</v>
      </c>
      <c r="H519" s="34">
        <v>45602</v>
      </c>
      <c r="I519" s="34"/>
      <c r="J519" s="34"/>
      <c r="K519" s="5" t="s">
        <v>748</v>
      </c>
      <c r="L519" s="5" t="s">
        <v>309</v>
      </c>
      <c r="M519" s="5" t="s">
        <v>308</v>
      </c>
    </row>
    <row r="520" spans="2:14" x14ac:dyDescent="0.25">
      <c r="B520" s="5">
        <v>574</v>
      </c>
      <c r="C520" s="34">
        <v>45602</v>
      </c>
      <c r="D520" s="5" t="s">
        <v>307</v>
      </c>
      <c r="E520" s="36">
        <v>23.28</v>
      </c>
      <c r="F520" s="36">
        <f>E520-G520</f>
        <v>0</v>
      </c>
      <c r="G520" s="36">
        <v>23.28</v>
      </c>
      <c r="H520" s="34">
        <v>45604</v>
      </c>
      <c r="I520" s="34"/>
      <c r="J520" s="34"/>
      <c r="K520" s="5" t="s">
        <v>684</v>
      </c>
      <c r="L520" s="5" t="s">
        <v>298</v>
      </c>
    </row>
    <row r="521" spans="2:14" x14ac:dyDescent="0.25">
      <c r="B521" s="5">
        <v>569</v>
      </c>
      <c r="C521" s="34">
        <v>45600</v>
      </c>
      <c r="D521" s="5" t="s">
        <v>307</v>
      </c>
      <c r="E521" s="36">
        <v>39.61</v>
      </c>
      <c r="F521" s="36">
        <f>E521-G521</f>
        <v>0</v>
      </c>
      <c r="G521" s="36">
        <v>39.61</v>
      </c>
      <c r="H521" s="34">
        <v>45602</v>
      </c>
      <c r="I521" s="34"/>
      <c r="J521" s="34"/>
      <c r="K521" s="5" t="s">
        <v>505</v>
      </c>
      <c r="L521" s="5" t="s">
        <v>298</v>
      </c>
    </row>
    <row r="522" spans="2:14" x14ac:dyDescent="0.25">
      <c r="B522" s="5">
        <v>584</v>
      </c>
      <c r="C522" s="34">
        <v>45604</v>
      </c>
      <c r="D522" s="5" t="s">
        <v>402</v>
      </c>
      <c r="E522" s="36">
        <v>380</v>
      </c>
      <c r="F522" s="36">
        <f>E522-G522</f>
        <v>0</v>
      </c>
      <c r="G522" s="36">
        <v>380</v>
      </c>
      <c r="H522" s="34">
        <v>45605</v>
      </c>
      <c r="I522" s="34"/>
      <c r="J522" s="34"/>
      <c r="K522" s="5" t="s">
        <v>746</v>
      </c>
      <c r="L522" s="5" t="s">
        <v>298</v>
      </c>
    </row>
    <row r="523" spans="2:14" x14ac:dyDescent="0.25">
      <c r="B523" s="5">
        <v>509</v>
      </c>
      <c r="C523" s="34">
        <v>45573</v>
      </c>
      <c r="D523" s="5" t="s">
        <v>190</v>
      </c>
      <c r="E523" s="36">
        <v>23624</v>
      </c>
      <c r="F523" s="36">
        <f>E523-G523</f>
        <v>0</v>
      </c>
      <c r="G523" s="36">
        <v>23624</v>
      </c>
      <c r="H523" s="34">
        <v>45604</v>
      </c>
      <c r="I523" s="34"/>
      <c r="J523" s="34"/>
      <c r="K523" s="5" t="s">
        <v>719</v>
      </c>
      <c r="L523" s="5" t="s">
        <v>303</v>
      </c>
    </row>
    <row r="524" spans="2:14" x14ac:dyDescent="0.25">
      <c r="B524" s="5">
        <v>557</v>
      </c>
      <c r="C524" s="34">
        <v>45595</v>
      </c>
      <c r="D524" s="5" t="s">
        <v>420</v>
      </c>
      <c r="E524" s="36">
        <v>212</v>
      </c>
      <c r="F524" s="36">
        <f>E524-G524</f>
        <v>0</v>
      </c>
      <c r="G524" s="36">
        <v>212</v>
      </c>
      <c r="H524" s="34">
        <v>45602</v>
      </c>
      <c r="I524" s="34"/>
      <c r="J524" s="34"/>
      <c r="K524" s="5" t="s">
        <v>747</v>
      </c>
      <c r="L524" s="5" t="s">
        <v>309</v>
      </c>
      <c r="M524" s="5" t="s">
        <v>308</v>
      </c>
    </row>
    <row r="525" spans="2:14" x14ac:dyDescent="0.25">
      <c r="B525" s="5">
        <v>585</v>
      </c>
      <c r="C525" s="34">
        <v>45604</v>
      </c>
      <c r="D525" s="5" t="s">
        <v>300</v>
      </c>
      <c r="E525" s="36">
        <v>50</v>
      </c>
      <c r="F525" s="36">
        <f>E525-G525</f>
        <v>0</v>
      </c>
      <c r="G525" s="36">
        <v>50</v>
      </c>
      <c r="H525" s="34">
        <v>45607</v>
      </c>
      <c r="I525" s="34"/>
      <c r="J525" s="34"/>
      <c r="K525" s="5" t="s">
        <v>746</v>
      </c>
      <c r="L525" s="5" t="s">
        <v>298</v>
      </c>
    </row>
    <row r="526" spans="2:14" x14ac:dyDescent="0.25">
      <c r="B526" s="5">
        <v>405</v>
      </c>
      <c r="C526" s="34">
        <v>45484</v>
      </c>
      <c r="D526" s="5" t="s">
        <v>189</v>
      </c>
      <c r="E526" s="36">
        <v>4000</v>
      </c>
      <c r="F526" s="36">
        <f>E526-G526</f>
        <v>0</v>
      </c>
      <c r="G526" s="36">
        <v>4000</v>
      </c>
      <c r="H526" s="34">
        <v>45657</v>
      </c>
      <c r="I526" s="34"/>
      <c r="J526" s="34"/>
      <c r="K526" s="5" t="s">
        <v>745</v>
      </c>
      <c r="L526" s="5" t="s">
        <v>298</v>
      </c>
      <c r="N526" s="5"/>
    </row>
    <row r="527" spans="2:14" x14ac:dyDescent="0.25">
      <c r="B527" s="5">
        <v>456</v>
      </c>
      <c r="C527" s="34">
        <v>45511</v>
      </c>
      <c r="D527" s="5" t="s">
        <v>463</v>
      </c>
      <c r="E527" s="36">
        <v>2800</v>
      </c>
      <c r="F527" s="36">
        <f>E527-G527</f>
        <v>0</v>
      </c>
      <c r="G527" s="36">
        <v>2800</v>
      </c>
      <c r="H527" s="34">
        <v>45512</v>
      </c>
      <c r="I527" s="34"/>
      <c r="J527" s="34"/>
      <c r="K527" s="5" t="s">
        <v>744</v>
      </c>
      <c r="L527" s="5" t="s">
        <v>298</v>
      </c>
    </row>
    <row r="528" spans="2:14" x14ac:dyDescent="0.25">
      <c r="B528" s="5">
        <v>568</v>
      </c>
      <c r="C528" s="34">
        <v>45600</v>
      </c>
      <c r="D528" s="5" t="s">
        <v>395</v>
      </c>
      <c r="E528" s="36">
        <v>1000</v>
      </c>
      <c r="F528" s="36">
        <f>E528-G528</f>
        <v>0</v>
      </c>
      <c r="G528" s="36">
        <v>1000</v>
      </c>
      <c r="H528" s="34">
        <v>45602</v>
      </c>
      <c r="I528" s="34"/>
      <c r="J528" s="34"/>
      <c r="K528" s="5" t="s">
        <v>396</v>
      </c>
      <c r="L528" s="5" t="s">
        <v>298</v>
      </c>
      <c r="N528" s="45"/>
    </row>
    <row r="529" spans="2:14" x14ac:dyDescent="0.25">
      <c r="B529" s="5">
        <v>318</v>
      </c>
      <c r="C529" s="34">
        <v>45432</v>
      </c>
      <c r="D529" s="5" t="s">
        <v>743</v>
      </c>
      <c r="E529" s="36">
        <v>7000</v>
      </c>
      <c r="F529" s="36">
        <f>E529-G529</f>
        <v>0</v>
      </c>
      <c r="G529" s="36">
        <v>7000</v>
      </c>
      <c r="H529" s="34">
        <v>45504</v>
      </c>
      <c r="I529" s="34"/>
      <c r="J529" s="34"/>
      <c r="K529" s="5" t="s">
        <v>708</v>
      </c>
      <c r="L529" s="5" t="s">
        <v>298</v>
      </c>
    </row>
    <row r="530" spans="2:14" x14ac:dyDescent="0.25">
      <c r="B530" s="5">
        <v>522</v>
      </c>
      <c r="C530" s="34">
        <v>45576</v>
      </c>
      <c r="D530" s="5" t="s">
        <v>463</v>
      </c>
      <c r="E530" s="36">
        <v>20000</v>
      </c>
      <c r="F530" s="36">
        <f>E530-G530</f>
        <v>0</v>
      </c>
      <c r="G530" s="36">
        <v>20000</v>
      </c>
      <c r="H530" s="34">
        <v>45621</v>
      </c>
      <c r="I530" s="34"/>
      <c r="J530" s="34"/>
      <c r="K530" s="5" t="s">
        <v>342</v>
      </c>
      <c r="L530" s="5" t="s">
        <v>298</v>
      </c>
    </row>
    <row r="531" spans="2:14" x14ac:dyDescent="0.25">
      <c r="B531" s="5">
        <v>108</v>
      </c>
      <c r="C531" s="34">
        <v>45110</v>
      </c>
      <c r="D531" s="5" t="s">
        <v>296</v>
      </c>
      <c r="E531" s="36">
        <v>88900</v>
      </c>
      <c r="F531" s="36">
        <f>E531-G531</f>
        <v>0</v>
      </c>
      <c r="G531" s="36">
        <v>88900</v>
      </c>
      <c r="H531" s="34">
        <v>45229</v>
      </c>
      <c r="I531" s="34"/>
      <c r="J531" s="34"/>
      <c r="K531" s="5" t="s">
        <v>742</v>
      </c>
      <c r="L531" s="5" t="s">
        <v>303</v>
      </c>
    </row>
    <row r="532" spans="2:14" x14ac:dyDescent="0.25">
      <c r="B532" s="5">
        <v>572</v>
      </c>
      <c r="C532" s="34">
        <v>45601</v>
      </c>
      <c r="D532" s="5" t="s">
        <v>300</v>
      </c>
      <c r="E532" s="36">
        <v>314</v>
      </c>
      <c r="F532" s="36">
        <f>E532-G532</f>
        <v>0</v>
      </c>
      <c r="G532" s="36">
        <v>314</v>
      </c>
      <c r="H532" s="34">
        <v>45608</v>
      </c>
      <c r="I532" s="34"/>
      <c r="J532" s="34"/>
      <c r="K532" s="5" t="s">
        <v>741</v>
      </c>
      <c r="L532" s="5" t="s">
        <v>298</v>
      </c>
    </row>
    <row r="533" spans="2:14" x14ac:dyDescent="0.25">
      <c r="B533" s="5">
        <v>551</v>
      </c>
      <c r="C533" s="34">
        <v>45593</v>
      </c>
      <c r="D533" s="5" t="s">
        <v>412</v>
      </c>
      <c r="E533" s="36">
        <v>285.39999999999998</v>
      </c>
      <c r="F533" s="36">
        <f>E533-G533</f>
        <v>0</v>
      </c>
      <c r="G533" s="36">
        <v>285.39999999999998</v>
      </c>
      <c r="H533" s="34">
        <v>45607</v>
      </c>
      <c r="I533" s="34"/>
      <c r="J533" s="34"/>
      <c r="K533" s="5" t="s">
        <v>525</v>
      </c>
      <c r="L533" s="5" t="s">
        <v>298</v>
      </c>
      <c r="N533" s="5"/>
    </row>
    <row r="534" spans="2:14" x14ac:dyDescent="0.25">
      <c r="B534" s="5">
        <v>589</v>
      </c>
      <c r="C534" s="34">
        <v>45607</v>
      </c>
      <c r="D534" s="5" t="s">
        <v>23</v>
      </c>
      <c r="E534" s="33">
        <v>152.9</v>
      </c>
      <c r="F534" s="33">
        <f>E534-G534</f>
        <v>0</v>
      </c>
      <c r="G534" s="33">
        <v>152.9</v>
      </c>
      <c r="H534" s="34">
        <v>45611</v>
      </c>
      <c r="I534" s="34"/>
      <c r="J534" s="34"/>
      <c r="K534" s="5" t="s">
        <v>684</v>
      </c>
      <c r="L534" s="5" t="s">
        <v>298</v>
      </c>
    </row>
    <row r="535" spans="2:14" x14ac:dyDescent="0.25">
      <c r="B535" s="5">
        <v>593</v>
      </c>
      <c r="C535" s="34">
        <v>45607</v>
      </c>
      <c r="D535" s="5" t="s">
        <v>300</v>
      </c>
      <c r="E535" s="33">
        <v>40</v>
      </c>
      <c r="F535" s="33">
        <f>E535-G535</f>
        <v>0</v>
      </c>
      <c r="G535" s="33">
        <v>40</v>
      </c>
      <c r="H535" s="34">
        <v>45614</v>
      </c>
      <c r="I535" s="34"/>
      <c r="J535" s="34"/>
      <c r="K535" s="5" t="s">
        <v>740</v>
      </c>
    </row>
    <row r="536" spans="2:14" x14ac:dyDescent="0.25">
      <c r="B536" s="5">
        <v>597</v>
      </c>
      <c r="C536" s="34">
        <v>45608</v>
      </c>
      <c r="D536" s="5" t="s">
        <v>602</v>
      </c>
      <c r="E536" s="33">
        <v>203</v>
      </c>
      <c r="F536" s="33">
        <f>E536-G536</f>
        <v>0</v>
      </c>
      <c r="G536" s="33">
        <v>203</v>
      </c>
      <c r="H536" s="34">
        <v>45614</v>
      </c>
      <c r="I536" s="34"/>
      <c r="J536" s="34"/>
      <c r="K536" s="5" t="s">
        <v>739</v>
      </c>
      <c r="L536" s="5" t="s">
        <v>298</v>
      </c>
    </row>
    <row r="537" spans="2:14" x14ac:dyDescent="0.25">
      <c r="B537" s="5">
        <v>566</v>
      </c>
      <c r="C537" s="34">
        <v>45600</v>
      </c>
      <c r="D537" s="5" t="s">
        <v>24</v>
      </c>
      <c r="E537" s="36">
        <v>1178.2</v>
      </c>
      <c r="F537" s="36">
        <f>E537-G537</f>
        <v>0</v>
      </c>
      <c r="G537" s="36">
        <v>1178.2</v>
      </c>
      <c r="H537" s="34">
        <v>45604</v>
      </c>
      <c r="I537" s="34"/>
      <c r="J537" s="34"/>
      <c r="K537" s="5" t="s">
        <v>382</v>
      </c>
      <c r="L537" s="5" t="s">
        <v>298</v>
      </c>
      <c r="N537" s="45"/>
    </row>
    <row r="538" spans="2:14" x14ac:dyDescent="0.25">
      <c r="B538" s="5">
        <v>596</v>
      </c>
      <c r="C538" s="34">
        <v>45608</v>
      </c>
      <c r="D538" s="5" t="s">
        <v>23</v>
      </c>
      <c r="E538" s="36">
        <v>200.46</v>
      </c>
      <c r="F538" s="36">
        <f>E538-G538</f>
        <v>0</v>
      </c>
      <c r="G538" s="36">
        <v>200.46</v>
      </c>
      <c r="H538" s="34">
        <v>45611</v>
      </c>
      <c r="I538" s="34"/>
      <c r="J538" s="34"/>
      <c r="K538" s="5" t="s">
        <v>598</v>
      </c>
      <c r="L538" s="5" t="s">
        <v>309</v>
      </c>
      <c r="M538" s="5" t="s">
        <v>308</v>
      </c>
      <c r="N538" s="45"/>
    </row>
    <row r="539" spans="2:14" x14ac:dyDescent="0.25">
      <c r="B539" s="5">
        <v>594</v>
      </c>
      <c r="C539" s="34">
        <v>45608</v>
      </c>
      <c r="D539" s="5" t="s">
        <v>23</v>
      </c>
      <c r="E539" s="36">
        <v>88.24</v>
      </c>
      <c r="F539" s="36">
        <f>E539-G539</f>
        <v>0</v>
      </c>
      <c r="G539" s="36">
        <v>88.24</v>
      </c>
      <c r="H539" s="34">
        <v>45614</v>
      </c>
      <c r="I539" s="34"/>
      <c r="J539" s="34"/>
      <c r="K539" s="5" t="s">
        <v>684</v>
      </c>
      <c r="L539" s="5" t="s">
        <v>309</v>
      </c>
      <c r="M539" s="5" t="s">
        <v>308</v>
      </c>
    </row>
    <row r="540" spans="2:14" x14ac:dyDescent="0.25">
      <c r="B540" s="5">
        <v>590</v>
      </c>
      <c r="C540" s="34">
        <v>45607</v>
      </c>
      <c r="D540" s="5" t="s">
        <v>316</v>
      </c>
      <c r="E540" s="33">
        <v>330.86</v>
      </c>
      <c r="F540" s="33">
        <f>E540-G540</f>
        <v>0</v>
      </c>
      <c r="G540" s="33">
        <v>330.86</v>
      </c>
      <c r="H540" s="34">
        <v>45616</v>
      </c>
      <c r="I540" s="34"/>
      <c r="J540" s="34"/>
      <c r="K540" s="5" t="s">
        <v>738</v>
      </c>
      <c r="L540" s="5" t="s">
        <v>298</v>
      </c>
    </row>
    <row r="541" spans="2:14" x14ac:dyDescent="0.25">
      <c r="B541" s="5">
        <v>588</v>
      </c>
      <c r="C541" s="34">
        <v>45607</v>
      </c>
      <c r="D541" s="5" t="s">
        <v>357</v>
      </c>
      <c r="E541" s="36">
        <v>93.01</v>
      </c>
      <c r="F541" s="36">
        <f>E541-G541</f>
        <v>0</v>
      </c>
      <c r="G541" s="36">
        <v>93.01</v>
      </c>
      <c r="H541" s="34">
        <v>45611</v>
      </c>
      <c r="I541" s="34"/>
      <c r="J541" s="34"/>
      <c r="K541" s="5" t="s">
        <v>684</v>
      </c>
      <c r="L541" s="5" t="s">
        <v>298</v>
      </c>
    </row>
    <row r="542" spans="2:14" x14ac:dyDescent="0.25">
      <c r="B542" s="5">
        <v>545</v>
      </c>
      <c r="C542" s="34">
        <v>45587</v>
      </c>
      <c r="D542" s="5" t="s">
        <v>307</v>
      </c>
      <c r="E542" s="36">
        <v>100</v>
      </c>
      <c r="F542" s="36">
        <f>E542-G542</f>
        <v>0</v>
      </c>
      <c r="G542" s="36">
        <v>100</v>
      </c>
      <c r="H542" s="34">
        <v>45602</v>
      </c>
      <c r="I542" s="34"/>
      <c r="J542" s="34"/>
      <c r="K542" s="5" t="s">
        <v>505</v>
      </c>
      <c r="L542" s="5" t="s">
        <v>298</v>
      </c>
      <c r="N542" s="5"/>
    </row>
    <row r="543" spans="2:14" x14ac:dyDescent="0.25">
      <c r="B543" s="5">
        <v>579</v>
      </c>
      <c r="C543" s="34">
        <v>45602</v>
      </c>
      <c r="D543" s="5" t="s">
        <v>307</v>
      </c>
      <c r="E543" s="36">
        <v>122.35</v>
      </c>
      <c r="F543" s="36">
        <f>E543-G543</f>
        <v>0</v>
      </c>
      <c r="G543" s="36">
        <v>122.35</v>
      </c>
      <c r="H543" s="34">
        <v>45607</v>
      </c>
      <c r="I543" s="34"/>
      <c r="J543" s="34"/>
      <c r="K543" s="5" t="s">
        <v>684</v>
      </c>
      <c r="L543" s="5" t="s">
        <v>303</v>
      </c>
    </row>
    <row r="544" spans="2:14" x14ac:dyDescent="0.25">
      <c r="B544" s="5">
        <v>592</v>
      </c>
      <c r="C544" s="34">
        <v>45607</v>
      </c>
      <c r="D544" s="5" t="s">
        <v>307</v>
      </c>
      <c r="E544" s="36">
        <v>68.459999999999994</v>
      </c>
      <c r="F544" s="36">
        <f>E544-G544</f>
        <v>0</v>
      </c>
      <c r="G544" s="36">
        <v>68.459999999999994</v>
      </c>
      <c r="H544" s="34">
        <v>45611</v>
      </c>
      <c r="I544" s="34"/>
      <c r="J544" s="34"/>
      <c r="K544" s="5" t="s">
        <v>684</v>
      </c>
      <c r="L544" s="5" t="s">
        <v>303</v>
      </c>
    </row>
    <row r="545" spans="2:14" x14ac:dyDescent="0.25">
      <c r="B545" s="5">
        <v>556</v>
      </c>
      <c r="C545" s="34">
        <v>45595</v>
      </c>
      <c r="D545" s="5" t="s">
        <v>560</v>
      </c>
      <c r="E545" s="33">
        <v>1375</v>
      </c>
      <c r="F545" s="33">
        <f>E545-G545</f>
        <v>0</v>
      </c>
      <c r="G545" s="33">
        <v>1375</v>
      </c>
      <c r="H545" s="34">
        <v>45611</v>
      </c>
      <c r="I545" s="34"/>
      <c r="J545" s="34"/>
      <c r="K545" s="5" t="s">
        <v>737</v>
      </c>
      <c r="L545" s="5" t="s">
        <v>298</v>
      </c>
    </row>
    <row r="546" spans="2:14" x14ac:dyDescent="0.25">
      <c r="B546" s="5">
        <v>581</v>
      </c>
      <c r="C546" s="34">
        <v>45603</v>
      </c>
      <c r="D546" s="5" t="s">
        <v>388</v>
      </c>
      <c r="E546" s="36">
        <v>12000</v>
      </c>
      <c r="F546" s="36">
        <f>E546-G546</f>
        <v>0</v>
      </c>
      <c r="G546" s="36">
        <v>12000</v>
      </c>
      <c r="H546" s="34">
        <v>45621</v>
      </c>
      <c r="I546" s="34"/>
      <c r="J546" s="34"/>
      <c r="K546" s="5" t="s">
        <v>689</v>
      </c>
      <c r="L546" s="5" t="s">
        <v>298</v>
      </c>
    </row>
    <row r="547" spans="2:14" x14ac:dyDescent="0.25">
      <c r="B547" s="5">
        <v>600</v>
      </c>
      <c r="C547" s="34">
        <v>45610</v>
      </c>
      <c r="D547" s="5" t="s">
        <v>316</v>
      </c>
      <c r="E547" s="36">
        <v>170.86</v>
      </c>
      <c r="F547" s="36">
        <f>E547-G547</f>
        <v>0</v>
      </c>
      <c r="G547" s="36">
        <v>170.86</v>
      </c>
      <c r="H547" s="34">
        <v>45622</v>
      </c>
      <c r="I547" s="34"/>
      <c r="J547" s="34"/>
      <c r="K547" s="5" t="s">
        <v>684</v>
      </c>
      <c r="L547" s="5" t="s">
        <v>298</v>
      </c>
    </row>
    <row r="548" spans="2:14" x14ac:dyDescent="0.25">
      <c r="B548" s="5">
        <v>601</v>
      </c>
      <c r="C548" s="34">
        <v>45610</v>
      </c>
      <c r="D548" s="5" t="s">
        <v>436</v>
      </c>
      <c r="E548" s="36">
        <v>230</v>
      </c>
      <c r="F548" s="36">
        <f>E548-G548</f>
        <v>0</v>
      </c>
      <c r="G548" s="36">
        <v>230</v>
      </c>
      <c r="H548" s="34">
        <v>45617</v>
      </c>
      <c r="I548" s="34"/>
      <c r="J548" s="34"/>
      <c r="K548" s="5" t="s">
        <v>709</v>
      </c>
      <c r="L548" s="5" t="s">
        <v>298</v>
      </c>
    </row>
    <row r="549" spans="2:14" x14ac:dyDescent="0.25">
      <c r="B549" s="5">
        <v>602</v>
      </c>
      <c r="C549" s="34">
        <v>45610</v>
      </c>
      <c r="D549" s="5" t="s">
        <v>436</v>
      </c>
      <c r="E549" s="36">
        <v>80</v>
      </c>
      <c r="F549" s="36">
        <f>E549-G549</f>
        <v>0</v>
      </c>
      <c r="G549" s="36">
        <v>80</v>
      </c>
      <c r="H549" s="34">
        <v>45617</v>
      </c>
      <c r="I549" s="34"/>
      <c r="J549" s="34"/>
      <c r="K549" s="5" t="s">
        <v>525</v>
      </c>
      <c r="L549" s="5" t="s">
        <v>298</v>
      </c>
    </row>
    <row r="550" spans="2:14" x14ac:dyDescent="0.25">
      <c r="B550" s="5">
        <v>608</v>
      </c>
      <c r="C550" s="34">
        <v>45614</v>
      </c>
      <c r="D550" s="5" t="s">
        <v>375</v>
      </c>
      <c r="E550" s="36">
        <v>84.82</v>
      </c>
      <c r="F550" s="36">
        <f>E550-G550</f>
        <v>0</v>
      </c>
      <c r="G550" s="36">
        <v>84.82</v>
      </c>
      <c r="H550" s="34">
        <v>45618</v>
      </c>
      <c r="I550" s="34"/>
      <c r="J550" s="34"/>
      <c r="K550" s="5" t="s">
        <v>454</v>
      </c>
      <c r="L550" s="5" t="s">
        <v>298</v>
      </c>
    </row>
    <row r="551" spans="2:14" x14ac:dyDescent="0.25">
      <c r="B551" s="5">
        <v>580</v>
      </c>
      <c r="C551" s="34">
        <v>45603</v>
      </c>
      <c r="D551" s="5" t="s">
        <v>24</v>
      </c>
      <c r="E551" s="36">
        <v>95.21</v>
      </c>
      <c r="F551" s="36">
        <f>E551-G551</f>
        <v>0</v>
      </c>
      <c r="G551" s="36">
        <v>95.21</v>
      </c>
      <c r="H551" s="34">
        <v>45610</v>
      </c>
      <c r="I551" s="34"/>
      <c r="J551" s="34"/>
      <c r="K551" s="5" t="s">
        <v>684</v>
      </c>
      <c r="L551" s="5" t="s">
        <v>309</v>
      </c>
    </row>
    <row r="552" spans="2:14" x14ac:dyDescent="0.25">
      <c r="B552" s="5">
        <v>598</v>
      </c>
      <c r="C552" s="34">
        <v>45609</v>
      </c>
      <c r="D552" s="5" t="s">
        <v>307</v>
      </c>
      <c r="E552" s="36">
        <v>32.01</v>
      </c>
      <c r="F552" s="36">
        <f>E552-G552</f>
        <v>0</v>
      </c>
      <c r="G552" s="36">
        <v>32.01</v>
      </c>
      <c r="H552" s="34">
        <v>45611</v>
      </c>
      <c r="I552" s="34"/>
      <c r="J552" s="34"/>
      <c r="K552" s="5" t="s">
        <v>684</v>
      </c>
      <c r="L552" s="5" t="s">
        <v>309</v>
      </c>
      <c r="M552" s="5" t="s">
        <v>308</v>
      </c>
    </row>
    <row r="553" spans="2:14" x14ac:dyDescent="0.25">
      <c r="B553" s="5">
        <v>618</v>
      </c>
      <c r="C553" s="34">
        <v>45617</v>
      </c>
      <c r="D553" s="5" t="s">
        <v>436</v>
      </c>
      <c r="E553" s="33">
        <v>50</v>
      </c>
      <c r="F553" s="33">
        <f>E553-G553</f>
        <v>0</v>
      </c>
      <c r="G553" s="33">
        <v>50</v>
      </c>
      <c r="H553" s="34">
        <v>45617</v>
      </c>
      <c r="I553" s="34"/>
      <c r="J553" s="34"/>
      <c r="K553" s="5" t="s">
        <v>709</v>
      </c>
      <c r="L553" s="5" t="s">
        <v>298</v>
      </c>
    </row>
    <row r="554" spans="2:14" x14ac:dyDescent="0.25">
      <c r="B554" s="5">
        <v>591</v>
      </c>
      <c r="C554" s="34">
        <v>45607</v>
      </c>
      <c r="D554" s="5" t="s">
        <v>736</v>
      </c>
      <c r="E554" s="36">
        <v>307</v>
      </c>
      <c r="F554" s="36">
        <f>E554-G554</f>
        <v>0</v>
      </c>
      <c r="G554" s="36">
        <v>307</v>
      </c>
      <c r="H554" s="34">
        <v>45614</v>
      </c>
      <c r="I554" s="34"/>
      <c r="J554" s="34"/>
      <c r="K554" s="5" t="s">
        <v>684</v>
      </c>
      <c r="L554" s="5" t="s">
        <v>309</v>
      </c>
      <c r="M554" s="5" t="s">
        <v>308</v>
      </c>
      <c r="N554" s="45"/>
    </row>
    <row r="555" spans="2:14" x14ac:dyDescent="0.25">
      <c r="B555" s="5">
        <v>610</v>
      </c>
      <c r="C555" s="34">
        <v>45615</v>
      </c>
      <c r="D555" s="5" t="s">
        <v>23</v>
      </c>
      <c r="E555" s="36">
        <v>72.69</v>
      </c>
      <c r="F555" s="36">
        <f>E555-G555</f>
        <v>0</v>
      </c>
      <c r="G555" s="36">
        <v>72.69</v>
      </c>
      <c r="H555" s="34">
        <v>45621</v>
      </c>
      <c r="I555" s="34"/>
      <c r="J555" s="34"/>
      <c r="K555" s="5" t="s">
        <v>684</v>
      </c>
      <c r="L555" s="5" t="s">
        <v>298</v>
      </c>
    </row>
    <row r="556" spans="2:14" x14ac:dyDescent="0.25">
      <c r="B556" s="5">
        <v>495</v>
      </c>
      <c r="C556" s="34">
        <v>45562</v>
      </c>
      <c r="D556" s="5" t="s">
        <v>374</v>
      </c>
      <c r="E556" s="36">
        <v>2190.6</v>
      </c>
      <c r="F556" s="36">
        <f>E556-G556</f>
        <v>0</v>
      </c>
      <c r="G556" s="36">
        <v>2190.6</v>
      </c>
      <c r="H556" s="34">
        <v>45611</v>
      </c>
      <c r="I556" s="34"/>
      <c r="J556" s="34"/>
      <c r="K556" s="5" t="s">
        <v>735</v>
      </c>
      <c r="L556" s="5" t="s">
        <v>298</v>
      </c>
    </row>
    <row r="557" spans="2:14" x14ac:dyDescent="0.25">
      <c r="B557" s="5">
        <v>283</v>
      </c>
      <c r="C557" s="34">
        <v>45420</v>
      </c>
      <c r="D557" s="5" t="s">
        <v>734</v>
      </c>
      <c r="E557" s="36">
        <v>100</v>
      </c>
      <c r="F557" s="36">
        <f>E557-G557</f>
        <v>0</v>
      </c>
      <c r="G557" s="36">
        <v>100</v>
      </c>
      <c r="H557" s="34">
        <v>45420</v>
      </c>
      <c r="I557" s="34"/>
      <c r="J557" s="34"/>
      <c r="K557" s="5" t="s">
        <v>396</v>
      </c>
      <c r="L557" s="5" t="s">
        <v>298</v>
      </c>
      <c r="N557" s="45"/>
    </row>
    <row r="558" spans="2:14" x14ac:dyDescent="0.25">
      <c r="B558" s="5">
        <v>626</v>
      </c>
      <c r="C558" s="34">
        <v>45618</v>
      </c>
      <c r="D558" s="5" t="s">
        <v>436</v>
      </c>
      <c r="E558" s="36">
        <v>30</v>
      </c>
      <c r="F558" s="36">
        <f>E558-G558</f>
        <v>0</v>
      </c>
      <c r="G558" s="36">
        <v>30</v>
      </c>
      <c r="H558" s="34">
        <v>45618</v>
      </c>
      <c r="I558" s="34"/>
      <c r="J558" s="34"/>
      <c r="K558" s="5" t="s">
        <v>709</v>
      </c>
      <c r="L558" s="5" t="s">
        <v>298</v>
      </c>
    </row>
    <row r="559" spans="2:14" x14ac:dyDescent="0.25">
      <c r="B559" s="5">
        <v>619</v>
      </c>
      <c r="C559" s="34">
        <v>45617</v>
      </c>
      <c r="D559" s="5" t="s">
        <v>178</v>
      </c>
      <c r="E559" s="36">
        <v>483.4</v>
      </c>
      <c r="F559" s="36">
        <f>E559-G559</f>
        <v>0</v>
      </c>
      <c r="G559" s="36">
        <v>483.4</v>
      </c>
      <c r="H559" s="34">
        <v>45617</v>
      </c>
      <c r="I559" s="34"/>
      <c r="J559" s="34"/>
      <c r="K559" s="5" t="s">
        <v>733</v>
      </c>
      <c r="L559" s="5" t="s">
        <v>298</v>
      </c>
    </row>
    <row r="560" spans="2:14" x14ac:dyDescent="0.25">
      <c r="B560" s="5">
        <v>605</v>
      </c>
      <c r="C560" s="34">
        <v>45611</v>
      </c>
      <c r="D560" s="5" t="s">
        <v>491</v>
      </c>
      <c r="E560" s="36">
        <v>20</v>
      </c>
      <c r="F560" s="36">
        <f>E560-G560</f>
        <v>0</v>
      </c>
      <c r="G560" s="36">
        <v>20</v>
      </c>
      <c r="H560" s="34">
        <v>45611</v>
      </c>
      <c r="I560" s="34"/>
      <c r="J560" s="34"/>
      <c r="K560" s="5" t="s">
        <v>709</v>
      </c>
      <c r="L560" s="5" t="s">
        <v>298</v>
      </c>
    </row>
    <row r="561" spans="2:15" x14ac:dyDescent="0.25">
      <c r="B561" s="5">
        <v>603</v>
      </c>
      <c r="C561" s="34">
        <v>45610</v>
      </c>
      <c r="D561" s="5" t="s">
        <v>300</v>
      </c>
      <c r="E561" s="36">
        <v>129.5</v>
      </c>
      <c r="F561" s="36">
        <f>E561-G561</f>
        <v>0</v>
      </c>
      <c r="G561" s="36">
        <v>129.5</v>
      </c>
      <c r="H561" s="34">
        <v>45617</v>
      </c>
      <c r="I561" s="34"/>
      <c r="J561" s="34"/>
      <c r="K561" s="5" t="s">
        <v>525</v>
      </c>
      <c r="L561" s="5" t="s">
        <v>298</v>
      </c>
    </row>
    <row r="562" spans="2:15" x14ac:dyDescent="0.25">
      <c r="B562" s="5">
        <v>611</v>
      </c>
      <c r="C562" s="34">
        <v>45615</v>
      </c>
      <c r="D562" s="5" t="s">
        <v>307</v>
      </c>
      <c r="E562" s="36">
        <v>240.24</v>
      </c>
      <c r="F562" s="36">
        <f>E562-G562</f>
        <v>0</v>
      </c>
      <c r="G562" s="36">
        <v>240.24</v>
      </c>
      <c r="H562" s="34">
        <v>45621</v>
      </c>
      <c r="I562" s="34"/>
      <c r="J562" s="34"/>
      <c r="K562" s="5" t="s">
        <v>684</v>
      </c>
      <c r="L562" s="5" t="s">
        <v>303</v>
      </c>
    </row>
    <row r="563" spans="2:15" x14ac:dyDescent="0.25">
      <c r="B563" s="5">
        <v>560</v>
      </c>
      <c r="C563" s="34">
        <v>45596</v>
      </c>
      <c r="D563" s="5" t="s">
        <v>470</v>
      </c>
      <c r="E563" s="36">
        <v>2800</v>
      </c>
      <c r="F563" s="36">
        <f>E563-G563</f>
        <v>0</v>
      </c>
      <c r="G563" s="36">
        <v>2800</v>
      </c>
      <c r="H563" s="34">
        <v>45625</v>
      </c>
      <c r="I563" s="34"/>
      <c r="J563" s="34"/>
      <c r="K563" s="5" t="s">
        <v>732</v>
      </c>
      <c r="L563" s="5" t="s">
        <v>309</v>
      </c>
    </row>
    <row r="564" spans="2:15" x14ac:dyDescent="0.25">
      <c r="B564" s="5">
        <v>623</v>
      </c>
      <c r="C564" s="34">
        <v>45617</v>
      </c>
      <c r="D564" s="5" t="s">
        <v>23</v>
      </c>
      <c r="E564" s="36">
        <v>255.95</v>
      </c>
      <c r="F564" s="36">
        <f>E564-G564</f>
        <v>0</v>
      </c>
      <c r="G564" s="36">
        <v>255.95</v>
      </c>
      <c r="H564" s="34">
        <v>45622</v>
      </c>
      <c r="I564" s="34"/>
      <c r="J564" s="34"/>
      <c r="K564" s="5" t="s">
        <v>684</v>
      </c>
      <c r="L564" s="5" t="s">
        <v>309</v>
      </c>
      <c r="M564" s="5" t="s">
        <v>308</v>
      </c>
    </row>
    <row r="565" spans="2:15" x14ac:dyDescent="0.25">
      <c r="B565" s="5">
        <v>625</v>
      </c>
      <c r="C565" s="34">
        <v>45617</v>
      </c>
      <c r="D565" s="5" t="s">
        <v>307</v>
      </c>
      <c r="E565" s="36">
        <v>31.97</v>
      </c>
      <c r="F565" s="36">
        <f>E565-G565</f>
        <v>0</v>
      </c>
      <c r="G565" s="36">
        <v>31.97</v>
      </c>
      <c r="H565" s="34">
        <v>45622</v>
      </c>
      <c r="I565" s="34"/>
      <c r="J565" s="34">
        <v>45621</v>
      </c>
      <c r="K565" s="5" t="s">
        <v>684</v>
      </c>
      <c r="L565" s="5" t="s">
        <v>298</v>
      </c>
    </row>
    <row r="566" spans="2:15" x14ac:dyDescent="0.25">
      <c r="B566" s="5">
        <v>624</v>
      </c>
      <c r="C566" s="34">
        <v>45617</v>
      </c>
      <c r="D566" s="5" t="s">
        <v>23</v>
      </c>
      <c r="E566" s="36">
        <v>67.91</v>
      </c>
      <c r="F566" s="36">
        <f>E566-G566</f>
        <v>0</v>
      </c>
      <c r="G566" s="36">
        <v>67.91</v>
      </c>
      <c r="H566" s="34">
        <v>45622</v>
      </c>
      <c r="I566" s="34"/>
      <c r="J566" s="34"/>
      <c r="K566" s="5" t="s">
        <v>525</v>
      </c>
      <c r="L566" s="5" t="s">
        <v>309</v>
      </c>
      <c r="M566" s="5" t="s">
        <v>308</v>
      </c>
    </row>
    <row r="567" spans="2:15" x14ac:dyDescent="0.25">
      <c r="B567" s="5">
        <v>622</v>
      </c>
      <c r="C567" s="34">
        <v>45617</v>
      </c>
      <c r="D567" s="5" t="s">
        <v>307</v>
      </c>
      <c r="E567" s="36">
        <v>21.57</v>
      </c>
      <c r="F567" s="36">
        <f>E567-G567</f>
        <v>0</v>
      </c>
      <c r="G567" s="36">
        <v>21.57</v>
      </c>
      <c r="H567" s="34">
        <v>45622</v>
      </c>
      <c r="I567" s="34"/>
      <c r="J567" s="34">
        <v>45621</v>
      </c>
      <c r="K567" s="5" t="s">
        <v>684</v>
      </c>
      <c r="L567" s="5" t="s">
        <v>298</v>
      </c>
    </row>
    <row r="568" spans="2:15" x14ac:dyDescent="0.25">
      <c r="B568" s="5">
        <v>577</v>
      </c>
      <c r="C568" s="34">
        <v>45602</v>
      </c>
      <c r="D568" s="5" t="s">
        <v>731</v>
      </c>
      <c r="E568" s="33">
        <v>260</v>
      </c>
      <c r="F568" s="33">
        <f>E568-G568</f>
        <v>0</v>
      </c>
      <c r="G568" s="33">
        <v>260</v>
      </c>
      <c r="H568" s="34">
        <v>45626</v>
      </c>
      <c r="I568" s="34"/>
      <c r="J568" s="34"/>
      <c r="K568" s="5" t="s">
        <v>342</v>
      </c>
      <c r="L568" s="5" t="s">
        <v>298</v>
      </c>
    </row>
    <row r="569" spans="2:15" x14ac:dyDescent="0.25">
      <c r="B569" s="5">
        <v>631</v>
      </c>
      <c r="C569" s="34">
        <v>45621</v>
      </c>
      <c r="D569" s="5" t="s">
        <v>395</v>
      </c>
      <c r="E569" s="36">
        <v>124</v>
      </c>
      <c r="F569" s="36">
        <f>E569-G569</f>
        <v>0</v>
      </c>
      <c r="G569" s="36">
        <v>124</v>
      </c>
      <c r="H569" s="34">
        <v>45621</v>
      </c>
      <c r="I569" s="34"/>
      <c r="J569" s="34"/>
      <c r="K569" s="5" t="s">
        <v>396</v>
      </c>
      <c r="L569" s="5" t="s">
        <v>298</v>
      </c>
      <c r="O569" s="5">
        <v>1012.5</v>
      </c>
    </row>
    <row r="570" spans="2:15" x14ac:dyDescent="0.25">
      <c r="B570" s="5">
        <v>484</v>
      </c>
      <c r="C570" s="34">
        <v>45555</v>
      </c>
      <c r="D570" s="5" t="s">
        <v>40</v>
      </c>
      <c r="E570" s="36">
        <f>O569*O2</f>
        <v>941.625</v>
      </c>
      <c r="F570" s="36">
        <f>E570-G570</f>
        <v>-4.9999999999954525E-3</v>
      </c>
      <c r="G570" s="36">
        <v>941.63</v>
      </c>
      <c r="H570" s="34">
        <v>45618</v>
      </c>
      <c r="I570" s="34"/>
      <c r="J570" s="34"/>
      <c r="K570" s="5" t="s">
        <v>598</v>
      </c>
      <c r="L570" s="5" t="s">
        <v>298</v>
      </c>
    </row>
    <row r="571" spans="2:15" x14ac:dyDescent="0.25">
      <c r="B571" s="5">
        <v>537</v>
      </c>
      <c r="C571" s="34">
        <v>45583</v>
      </c>
      <c r="D571" s="5" t="s">
        <v>417</v>
      </c>
      <c r="E571" s="36">
        <v>3780</v>
      </c>
      <c r="F571" s="36">
        <f>E571-G571</f>
        <v>0</v>
      </c>
      <c r="G571" s="36">
        <v>3780</v>
      </c>
      <c r="H571" s="34">
        <v>45622</v>
      </c>
      <c r="I571" s="34"/>
      <c r="J571" s="34"/>
      <c r="K571" s="5" t="s">
        <v>416</v>
      </c>
      <c r="L571" s="5" t="s">
        <v>298</v>
      </c>
    </row>
    <row r="572" spans="2:15" x14ac:dyDescent="0.25">
      <c r="B572" s="5">
        <v>609</v>
      </c>
      <c r="C572" s="34">
        <v>45615</v>
      </c>
      <c r="D572" s="5" t="s">
        <v>328</v>
      </c>
      <c r="E572" s="36">
        <v>286.14</v>
      </c>
      <c r="F572" s="36">
        <f>E572-G572</f>
        <v>0</v>
      </c>
      <c r="G572" s="36">
        <v>286.14</v>
      </c>
      <c r="H572" s="34">
        <v>45621</v>
      </c>
      <c r="I572" s="34"/>
      <c r="J572" s="34"/>
      <c r="K572" s="5" t="s">
        <v>684</v>
      </c>
      <c r="L572" s="5" t="s">
        <v>303</v>
      </c>
    </row>
    <row r="573" spans="2:15" x14ac:dyDescent="0.25">
      <c r="B573" s="5">
        <v>573</v>
      </c>
      <c r="C573" s="34">
        <v>45601</v>
      </c>
      <c r="D573" s="5" t="s">
        <v>730</v>
      </c>
      <c r="E573" s="36">
        <v>120</v>
      </c>
      <c r="F573" s="36">
        <f>E573-G573</f>
        <v>0</v>
      </c>
      <c r="G573" s="36">
        <v>120</v>
      </c>
      <c r="H573" s="34">
        <v>45615</v>
      </c>
      <c r="I573" s="34"/>
      <c r="J573" s="34"/>
      <c r="K573" s="5" t="s">
        <v>598</v>
      </c>
      <c r="L573" s="5" t="s">
        <v>298</v>
      </c>
    </row>
    <row r="574" spans="2:15" x14ac:dyDescent="0.25">
      <c r="B574" s="5">
        <v>554</v>
      </c>
      <c r="C574" s="34">
        <v>45594</v>
      </c>
      <c r="D574" s="5" t="s">
        <v>729</v>
      </c>
      <c r="E574" s="36">
        <v>2000</v>
      </c>
      <c r="F574" s="36">
        <f>E574-G574</f>
        <v>0</v>
      </c>
      <c r="G574" s="36">
        <v>2000</v>
      </c>
      <c r="H574" s="34">
        <v>45621</v>
      </c>
      <c r="I574" s="34"/>
      <c r="J574" s="34"/>
      <c r="K574" s="5" t="s">
        <v>598</v>
      </c>
      <c r="L574" s="5" t="s">
        <v>298</v>
      </c>
    </row>
    <row r="575" spans="2:15" x14ac:dyDescent="0.25">
      <c r="B575" s="5">
        <v>565</v>
      </c>
      <c r="C575" s="34">
        <v>45600</v>
      </c>
      <c r="D575" s="5" t="s">
        <v>470</v>
      </c>
      <c r="E575" s="33">
        <v>2400</v>
      </c>
      <c r="F575" s="33">
        <f>E575-G575</f>
        <v>0</v>
      </c>
      <c r="G575" s="33">
        <v>2400</v>
      </c>
      <c r="H575" s="34">
        <v>45626</v>
      </c>
      <c r="I575" s="34"/>
      <c r="J575" s="34"/>
      <c r="K575" s="5" t="s">
        <v>728</v>
      </c>
      <c r="L575" s="5" t="s">
        <v>298</v>
      </c>
    </row>
    <row r="576" spans="2:15" x14ac:dyDescent="0.25">
      <c r="B576" s="5">
        <v>629</v>
      </c>
      <c r="C576" s="34">
        <v>45621</v>
      </c>
      <c r="D576" s="5" t="s">
        <v>307</v>
      </c>
      <c r="E576" s="33">
        <v>9.9499999999999993</v>
      </c>
      <c r="F576" s="33">
        <f>E576-G576</f>
        <v>0</v>
      </c>
      <c r="G576" s="33">
        <v>9.9499999999999993</v>
      </c>
      <c r="H576" s="34">
        <v>45623</v>
      </c>
      <c r="I576" s="34"/>
      <c r="J576" s="34">
        <v>45623</v>
      </c>
      <c r="K576" s="5" t="s">
        <v>684</v>
      </c>
      <c r="L576" s="5" t="s">
        <v>298</v>
      </c>
    </row>
    <row r="577" spans="2:15" x14ac:dyDescent="0.25">
      <c r="B577" s="5">
        <v>630</v>
      </c>
      <c r="C577" s="34">
        <v>45621</v>
      </c>
      <c r="D577" s="5" t="s">
        <v>23</v>
      </c>
      <c r="E577" s="36">
        <v>59.59</v>
      </c>
      <c r="F577" s="36">
        <f>E577-G577</f>
        <v>0</v>
      </c>
      <c r="G577" s="36">
        <v>59.59</v>
      </c>
      <c r="H577" s="34">
        <v>45624</v>
      </c>
      <c r="I577" s="34"/>
      <c r="J577" s="34"/>
      <c r="K577" s="5" t="s">
        <v>684</v>
      </c>
      <c r="L577" s="5" t="s">
        <v>309</v>
      </c>
      <c r="M577" s="5" t="s">
        <v>308</v>
      </c>
      <c r="O577" s="33"/>
    </row>
    <row r="578" spans="2:15" x14ac:dyDescent="0.25">
      <c r="B578" s="5">
        <v>604</v>
      </c>
      <c r="C578" s="34">
        <v>45610</v>
      </c>
      <c r="D578" s="5" t="s">
        <v>727</v>
      </c>
      <c r="E578" s="33">
        <f>O578*O2</f>
        <v>334.65120000000002</v>
      </c>
      <c r="F578" s="33">
        <f>E578-G578</f>
        <v>1.2000000000398359E-3</v>
      </c>
      <c r="G578" s="33">
        <v>334.65</v>
      </c>
      <c r="H578" s="34">
        <v>45625</v>
      </c>
      <c r="I578" s="34"/>
      <c r="J578" s="34"/>
      <c r="K578" s="5" t="s">
        <v>684</v>
      </c>
      <c r="L578" s="5" t="s">
        <v>298</v>
      </c>
      <c r="N578" s="5" t="s">
        <v>715</v>
      </c>
      <c r="O578" s="33">
        <v>359.84</v>
      </c>
    </row>
    <row r="579" spans="2:15" x14ac:dyDescent="0.25">
      <c r="B579" s="5">
        <v>559</v>
      </c>
      <c r="C579" s="34">
        <v>45595</v>
      </c>
      <c r="D579" s="5" t="s">
        <v>726</v>
      </c>
      <c r="E579" s="36">
        <v>1460</v>
      </c>
      <c r="F579" s="36">
        <f>E579-G579</f>
        <v>0</v>
      </c>
      <c r="G579" s="36">
        <v>1460</v>
      </c>
      <c r="H579" s="34">
        <v>45602</v>
      </c>
      <c r="I579" s="34"/>
      <c r="J579" s="34"/>
      <c r="K579" s="5" t="s">
        <v>396</v>
      </c>
      <c r="L579" s="5" t="s">
        <v>298</v>
      </c>
    </row>
    <row r="580" spans="2:15" x14ac:dyDescent="0.25">
      <c r="B580" s="5">
        <v>637</v>
      </c>
      <c r="C580" s="34">
        <v>45623</v>
      </c>
      <c r="D580" s="5" t="s">
        <v>307</v>
      </c>
      <c r="E580" s="33">
        <v>25.86</v>
      </c>
      <c r="F580" s="33">
        <f>E580-G580</f>
        <v>0</v>
      </c>
      <c r="G580" s="33">
        <v>25.86</v>
      </c>
      <c r="H580" s="34">
        <v>45625</v>
      </c>
      <c r="I580" s="34"/>
      <c r="J580" s="34">
        <v>45624</v>
      </c>
      <c r="K580" s="5" t="s">
        <v>505</v>
      </c>
      <c r="L580" s="5" t="s">
        <v>298</v>
      </c>
    </row>
    <row r="581" spans="2:15" x14ac:dyDescent="0.25">
      <c r="B581" s="5">
        <v>612</v>
      </c>
      <c r="C581" s="34">
        <v>45615</v>
      </c>
      <c r="D581" s="5" t="s">
        <v>321</v>
      </c>
      <c r="E581" s="36">
        <v>93.87</v>
      </c>
      <c r="F581" s="36">
        <f>E581-G581</f>
        <v>0</v>
      </c>
      <c r="G581" s="36">
        <v>93.87</v>
      </c>
      <c r="H581" s="34">
        <v>45621</v>
      </c>
      <c r="I581" s="34"/>
      <c r="J581" s="34"/>
      <c r="K581" s="5" t="s">
        <v>684</v>
      </c>
      <c r="L581" s="5" t="s">
        <v>309</v>
      </c>
      <c r="M581" s="5" t="s">
        <v>308</v>
      </c>
    </row>
    <row r="582" spans="2:15" x14ac:dyDescent="0.25">
      <c r="B582" s="5">
        <v>529</v>
      </c>
      <c r="C582" s="34">
        <v>45581</v>
      </c>
      <c r="D582" s="5" t="s">
        <v>371</v>
      </c>
      <c r="E582" s="36">
        <v>310</v>
      </c>
      <c r="F582" s="36">
        <f>E582-G582</f>
        <v>0</v>
      </c>
      <c r="G582" s="36">
        <v>310</v>
      </c>
      <c r="H582" s="34">
        <v>45588</v>
      </c>
      <c r="I582" s="34"/>
      <c r="J582" s="34"/>
      <c r="K582" s="5" t="s">
        <v>725</v>
      </c>
      <c r="L582" s="5" t="s">
        <v>303</v>
      </c>
    </row>
    <row r="583" spans="2:15" x14ac:dyDescent="0.25">
      <c r="B583" s="5">
        <v>319</v>
      </c>
      <c r="C583" s="34">
        <v>45432</v>
      </c>
      <c r="D583" s="5" t="s">
        <v>706</v>
      </c>
      <c r="E583" s="36">
        <v>1000</v>
      </c>
      <c r="F583" s="36">
        <f>E583-G583</f>
        <v>0</v>
      </c>
      <c r="G583" s="36">
        <v>1000</v>
      </c>
      <c r="H583" s="34">
        <v>45504</v>
      </c>
      <c r="I583" s="34"/>
      <c r="J583" s="34"/>
      <c r="K583" s="5" t="s">
        <v>724</v>
      </c>
      <c r="L583" s="5" t="s">
        <v>298</v>
      </c>
      <c r="N583" s="5"/>
    </row>
    <row r="584" spans="2:15" x14ac:dyDescent="0.25">
      <c r="B584" s="5">
        <v>578</v>
      </c>
      <c r="C584" s="34">
        <v>45602</v>
      </c>
      <c r="D584" s="5" t="s">
        <v>371</v>
      </c>
      <c r="E584" s="36">
        <v>2595</v>
      </c>
      <c r="F584" s="36">
        <f>E584-G584</f>
        <v>0</v>
      </c>
      <c r="G584" s="36">
        <v>2595</v>
      </c>
      <c r="H584" s="34">
        <v>45609</v>
      </c>
      <c r="I584" s="34"/>
      <c r="J584" s="34"/>
      <c r="K584" s="5" t="s">
        <v>603</v>
      </c>
      <c r="L584" s="5" t="s">
        <v>298</v>
      </c>
    </row>
    <row r="585" spans="2:15" x14ac:dyDescent="0.25">
      <c r="B585" s="5">
        <v>627</v>
      </c>
      <c r="C585" s="34">
        <v>45618</v>
      </c>
      <c r="D585" s="5" t="s">
        <v>537</v>
      </c>
      <c r="E585" s="33">
        <v>273.36</v>
      </c>
      <c r="F585" s="33">
        <f>E585-G585</f>
        <v>0</v>
      </c>
      <c r="G585" s="33">
        <v>273.36</v>
      </c>
      <c r="H585" s="34">
        <v>45624</v>
      </c>
      <c r="I585" s="34"/>
      <c r="J585" s="34"/>
      <c r="K585" s="5" t="s">
        <v>684</v>
      </c>
      <c r="L585" s="5" t="s">
        <v>298</v>
      </c>
    </row>
    <row r="586" spans="2:15" x14ac:dyDescent="0.25">
      <c r="B586" s="5">
        <v>628</v>
      </c>
      <c r="C586" s="34">
        <v>45618</v>
      </c>
      <c r="D586" s="5" t="s">
        <v>537</v>
      </c>
      <c r="E586" s="33">
        <v>107.73</v>
      </c>
      <c r="F586" s="33">
        <f>E586-G586</f>
        <v>0</v>
      </c>
      <c r="G586" s="33">
        <v>107.73</v>
      </c>
      <c r="H586" s="34">
        <v>45624</v>
      </c>
      <c r="I586" s="34"/>
      <c r="J586" s="34"/>
      <c r="K586" s="5" t="s">
        <v>709</v>
      </c>
      <c r="L586" s="5" t="s">
        <v>298</v>
      </c>
    </row>
    <row r="587" spans="2:15" x14ac:dyDescent="0.25">
      <c r="B587" s="5">
        <v>632</v>
      </c>
      <c r="C587" s="34">
        <v>45622</v>
      </c>
      <c r="D587" s="5" t="s">
        <v>537</v>
      </c>
      <c r="E587" s="33">
        <v>178.2</v>
      </c>
      <c r="F587" s="33">
        <f>E587-G587</f>
        <v>0</v>
      </c>
      <c r="G587" s="33">
        <v>178.2</v>
      </c>
      <c r="H587" s="34">
        <v>45624</v>
      </c>
      <c r="I587" s="34"/>
      <c r="J587" s="34"/>
      <c r="K587" s="5" t="s">
        <v>525</v>
      </c>
      <c r="L587" s="5" t="s">
        <v>298</v>
      </c>
    </row>
    <row r="588" spans="2:15" x14ac:dyDescent="0.25">
      <c r="B588" s="5">
        <v>606</v>
      </c>
      <c r="C588" s="34">
        <v>45611</v>
      </c>
      <c r="D588" s="5" t="s">
        <v>307</v>
      </c>
      <c r="E588" s="36">
        <v>38.49</v>
      </c>
      <c r="F588" s="36">
        <f>E588-G588</f>
        <v>0</v>
      </c>
      <c r="G588" s="36">
        <v>38.49</v>
      </c>
      <c r="H588" s="34">
        <v>45617</v>
      </c>
      <c r="I588" s="34"/>
      <c r="J588" s="34">
        <v>45625</v>
      </c>
      <c r="K588" s="5" t="s">
        <v>525</v>
      </c>
      <c r="L588" s="5" t="s">
        <v>298</v>
      </c>
      <c r="N588" s="45"/>
    </row>
    <row r="589" spans="2:15" x14ac:dyDescent="0.25">
      <c r="B589" s="5">
        <v>276</v>
      </c>
      <c r="C589" s="34">
        <v>45418</v>
      </c>
      <c r="D589" s="5" t="s">
        <v>463</v>
      </c>
      <c r="E589" s="36">
        <v>6800</v>
      </c>
      <c r="F589" s="36">
        <f>E589-G589</f>
        <v>0</v>
      </c>
      <c r="G589" s="36">
        <v>6800</v>
      </c>
      <c r="H589" s="34">
        <v>45504</v>
      </c>
      <c r="I589" s="34"/>
      <c r="J589" s="34"/>
      <c r="K589" s="5" t="s">
        <v>603</v>
      </c>
      <c r="L589" s="5" t="s">
        <v>298</v>
      </c>
      <c r="N589" s="5"/>
    </row>
    <row r="590" spans="2:15" x14ac:dyDescent="0.25">
      <c r="B590" s="5">
        <v>277</v>
      </c>
      <c r="C590" s="34">
        <v>45418</v>
      </c>
      <c r="D590" s="5" t="s">
        <v>463</v>
      </c>
      <c r="E590" s="36">
        <v>16800</v>
      </c>
      <c r="F590" s="36">
        <f>E590-G590</f>
        <v>0</v>
      </c>
      <c r="G590" s="36">
        <v>16800</v>
      </c>
      <c r="H590" s="34">
        <v>45504</v>
      </c>
      <c r="I590" s="34"/>
      <c r="J590" s="34"/>
      <c r="K590" s="5" t="s">
        <v>603</v>
      </c>
      <c r="L590" s="5" t="s">
        <v>298</v>
      </c>
    </row>
    <row r="591" spans="2:15" x14ac:dyDescent="0.25">
      <c r="B591" s="5">
        <v>635</v>
      </c>
      <c r="C591" s="34">
        <v>45623</v>
      </c>
      <c r="D591" s="5" t="s">
        <v>376</v>
      </c>
      <c r="E591" s="33">
        <v>13596</v>
      </c>
      <c r="F591" s="33">
        <f>E591-G591</f>
        <v>0</v>
      </c>
      <c r="G591" s="33">
        <v>13596</v>
      </c>
      <c r="H591" s="34">
        <v>45638</v>
      </c>
      <c r="I591" s="34"/>
      <c r="J591" s="34"/>
      <c r="K591" s="5" t="s">
        <v>723</v>
      </c>
      <c r="L591" s="5" t="s">
        <v>298</v>
      </c>
    </row>
    <row r="592" spans="2:15" x14ac:dyDescent="0.25">
      <c r="B592" s="5">
        <v>507</v>
      </c>
      <c r="C592" s="34">
        <v>45572</v>
      </c>
      <c r="D592" s="5" t="s">
        <v>722</v>
      </c>
      <c r="E592" s="36">
        <v>2300</v>
      </c>
      <c r="F592" s="36">
        <f>E592-G592</f>
        <v>0</v>
      </c>
      <c r="G592" s="36">
        <v>2300</v>
      </c>
      <c r="H592" s="34">
        <v>45601</v>
      </c>
      <c r="I592" s="34"/>
      <c r="J592" s="34"/>
      <c r="K592" s="5" t="s">
        <v>598</v>
      </c>
      <c r="L592" s="5" t="s">
        <v>298</v>
      </c>
    </row>
    <row r="593" spans="2:14" x14ac:dyDescent="0.25">
      <c r="B593" s="5">
        <v>634</v>
      </c>
      <c r="C593" s="34">
        <v>45623</v>
      </c>
      <c r="D593" s="5" t="s">
        <v>341</v>
      </c>
      <c r="E593" s="33">
        <v>143.4</v>
      </c>
      <c r="F593" s="33">
        <f>E593-G593</f>
        <v>0</v>
      </c>
      <c r="G593" s="33">
        <v>143.4</v>
      </c>
      <c r="H593" s="34">
        <v>45625</v>
      </c>
      <c r="I593" s="34"/>
      <c r="J593" s="34"/>
      <c r="K593" s="5" t="s">
        <v>342</v>
      </c>
      <c r="L593" s="5" t="s">
        <v>298</v>
      </c>
    </row>
    <row r="594" spans="2:14" x14ac:dyDescent="0.25">
      <c r="B594" s="5">
        <v>640</v>
      </c>
      <c r="C594" s="34">
        <v>45624</v>
      </c>
      <c r="D594" s="5" t="s">
        <v>307</v>
      </c>
      <c r="E594" s="36">
        <v>13.08</v>
      </c>
      <c r="F594" s="36">
        <f>E594-G594</f>
        <v>0</v>
      </c>
      <c r="G594" s="36">
        <v>13.08</v>
      </c>
      <c r="H594" s="34">
        <v>45628</v>
      </c>
      <c r="I594" s="34"/>
      <c r="J594" s="34">
        <v>45628</v>
      </c>
      <c r="K594" s="5" t="s">
        <v>571</v>
      </c>
      <c r="L594" s="5" t="s">
        <v>298</v>
      </c>
    </row>
    <row r="595" spans="2:14" x14ac:dyDescent="0.25">
      <c r="B595" s="5">
        <v>638</v>
      </c>
      <c r="C595" s="34">
        <v>45624</v>
      </c>
      <c r="D595" s="5" t="s">
        <v>300</v>
      </c>
      <c r="E595" s="33">
        <v>90</v>
      </c>
      <c r="F595" s="33">
        <f>E595-G595</f>
        <v>0</v>
      </c>
      <c r="G595" s="33">
        <v>90</v>
      </c>
      <c r="H595" s="34">
        <v>45632</v>
      </c>
      <c r="I595" s="34"/>
      <c r="J595" s="34">
        <v>45629</v>
      </c>
      <c r="K595" s="5" t="s">
        <v>721</v>
      </c>
      <c r="L595" s="5" t="s">
        <v>298</v>
      </c>
    </row>
    <row r="596" spans="2:14" x14ac:dyDescent="0.25">
      <c r="B596" s="5">
        <v>639</v>
      </c>
      <c r="C596" s="34">
        <v>45624</v>
      </c>
      <c r="D596" s="5">
        <v>1855</v>
      </c>
      <c r="E596" s="33">
        <v>25</v>
      </c>
      <c r="F596" s="33">
        <f>E596-G596</f>
        <v>0</v>
      </c>
      <c r="G596" s="33">
        <v>25</v>
      </c>
      <c r="H596" s="34">
        <v>45630</v>
      </c>
      <c r="I596" s="34"/>
      <c r="J596" s="34">
        <v>45629</v>
      </c>
      <c r="K596" s="5" t="s">
        <v>691</v>
      </c>
      <c r="L596" s="5" t="s">
        <v>298</v>
      </c>
    </row>
    <row r="597" spans="2:14" x14ac:dyDescent="0.25">
      <c r="B597" s="5">
        <v>636</v>
      </c>
      <c r="C597" s="34">
        <v>45623</v>
      </c>
      <c r="D597" s="5">
        <v>1855</v>
      </c>
      <c r="E597" s="33">
        <v>40</v>
      </c>
      <c r="F597" s="33">
        <f>E597-G597</f>
        <v>0</v>
      </c>
      <c r="G597" s="33">
        <v>40</v>
      </c>
      <c r="H597" s="34">
        <v>45630</v>
      </c>
      <c r="I597" s="34"/>
      <c r="J597" s="34">
        <v>45629</v>
      </c>
      <c r="K597" s="5" t="s">
        <v>691</v>
      </c>
      <c r="L597" s="5" t="s">
        <v>298</v>
      </c>
    </row>
    <row r="598" spans="2:14" x14ac:dyDescent="0.25">
      <c r="B598" s="5">
        <v>645</v>
      </c>
      <c r="C598" s="34">
        <v>45628</v>
      </c>
      <c r="D598" s="5" t="s">
        <v>185</v>
      </c>
      <c r="E598" s="33">
        <v>378.85</v>
      </c>
      <c r="F598" s="33">
        <f>E598-G598</f>
        <v>0</v>
      </c>
      <c r="G598" s="33">
        <v>378.85</v>
      </c>
      <c r="H598" s="34">
        <v>45632</v>
      </c>
      <c r="I598" s="34"/>
      <c r="J598" s="34">
        <v>45629</v>
      </c>
      <c r="K598" s="5" t="s">
        <v>460</v>
      </c>
      <c r="L598" s="5" t="s">
        <v>298</v>
      </c>
    </row>
    <row r="599" spans="2:14" x14ac:dyDescent="0.25">
      <c r="B599" s="5">
        <v>533</v>
      </c>
      <c r="C599" s="34">
        <v>45582</v>
      </c>
      <c r="D599" s="5" t="s">
        <v>158</v>
      </c>
      <c r="E599" s="33">
        <v>1914</v>
      </c>
      <c r="F599" s="33">
        <f>E599-G599</f>
        <v>0</v>
      </c>
      <c r="G599" s="33">
        <v>1914</v>
      </c>
      <c r="H599" s="34">
        <v>45644</v>
      </c>
      <c r="I599" s="34"/>
      <c r="J599" s="34">
        <v>45629</v>
      </c>
      <c r="K599" s="5" t="s">
        <v>445</v>
      </c>
      <c r="L599" s="5" t="s">
        <v>298</v>
      </c>
      <c r="N599" s="5"/>
    </row>
    <row r="600" spans="2:14" x14ac:dyDescent="0.25">
      <c r="B600" s="5">
        <v>650</v>
      </c>
      <c r="C600" s="34">
        <v>45629</v>
      </c>
      <c r="D600" s="5" t="s">
        <v>510</v>
      </c>
      <c r="E600" s="33">
        <v>2888</v>
      </c>
      <c r="F600" s="33">
        <f>E600-G600</f>
        <v>0</v>
      </c>
      <c r="G600" s="33">
        <v>2888</v>
      </c>
      <c r="H600" s="34">
        <v>45629</v>
      </c>
      <c r="I600" s="34"/>
      <c r="J600" s="34">
        <v>45629</v>
      </c>
      <c r="K600" s="5" t="s">
        <v>720</v>
      </c>
      <c r="L600" s="5" t="s">
        <v>298</v>
      </c>
    </row>
    <row r="601" spans="2:14" x14ac:dyDescent="0.25">
      <c r="B601" s="5">
        <v>648</v>
      </c>
      <c r="C601" s="34">
        <v>45629</v>
      </c>
      <c r="D601" s="5" t="s">
        <v>366</v>
      </c>
      <c r="E601" s="33">
        <v>3096</v>
      </c>
      <c r="F601" s="33">
        <f>E601-G601</f>
        <v>0</v>
      </c>
      <c r="G601" s="33">
        <v>3096</v>
      </c>
      <c r="H601" s="34">
        <v>45632</v>
      </c>
      <c r="I601" s="34"/>
      <c r="J601" s="34">
        <v>45630</v>
      </c>
      <c r="K601" s="5" t="s">
        <v>689</v>
      </c>
      <c r="L601" s="5" t="s">
        <v>298</v>
      </c>
    </row>
    <row r="602" spans="2:14" x14ac:dyDescent="0.25">
      <c r="B602" s="5">
        <v>411</v>
      </c>
      <c r="C602" s="34">
        <v>45485</v>
      </c>
      <c r="D602" s="5" t="s">
        <v>463</v>
      </c>
      <c r="E602" s="36">
        <v>5140</v>
      </c>
      <c r="F602" s="36">
        <f>E602-G602</f>
        <v>0</v>
      </c>
      <c r="G602" s="36">
        <v>5140</v>
      </c>
      <c r="H602" s="34">
        <v>45504</v>
      </c>
      <c r="I602" s="34"/>
      <c r="J602" s="34"/>
      <c r="K602" s="5" t="s">
        <v>719</v>
      </c>
      <c r="L602" s="5" t="s">
        <v>298</v>
      </c>
    </row>
    <row r="603" spans="2:14" x14ac:dyDescent="0.25">
      <c r="B603" s="5">
        <v>620</v>
      </c>
      <c r="C603" s="34">
        <v>45617</v>
      </c>
      <c r="D603" s="5" t="s">
        <v>718</v>
      </c>
      <c r="E603" s="33">
        <v>6000</v>
      </c>
      <c r="F603" s="36">
        <f>E603-G603</f>
        <v>0</v>
      </c>
      <c r="G603" s="36">
        <v>6000</v>
      </c>
      <c r="H603" s="34">
        <v>45628</v>
      </c>
      <c r="I603" s="34"/>
      <c r="J603" s="34">
        <v>45623</v>
      </c>
      <c r="K603" s="5" t="s">
        <v>603</v>
      </c>
    </row>
    <row r="604" spans="2:14" x14ac:dyDescent="0.25">
      <c r="B604" s="5">
        <v>552</v>
      </c>
      <c r="C604" s="34">
        <v>45593</v>
      </c>
      <c r="D604" s="5" t="s">
        <v>252</v>
      </c>
      <c r="E604" s="36">
        <v>471</v>
      </c>
      <c r="F604" s="36">
        <f>E604-G604</f>
        <v>0</v>
      </c>
      <c r="G604" s="36">
        <v>471</v>
      </c>
      <c r="H604" s="34">
        <v>45621</v>
      </c>
      <c r="I604" s="34"/>
      <c r="J604" s="34">
        <v>45631</v>
      </c>
      <c r="K604" s="5" t="s">
        <v>505</v>
      </c>
      <c r="L604" s="5" t="s">
        <v>309</v>
      </c>
      <c r="M604" s="5" t="s">
        <v>308</v>
      </c>
      <c r="N604" s="45"/>
    </row>
    <row r="605" spans="2:14" x14ac:dyDescent="0.25">
      <c r="B605" s="5">
        <v>613</v>
      </c>
      <c r="C605" s="34">
        <v>45615</v>
      </c>
      <c r="D605" s="5" t="s">
        <v>412</v>
      </c>
      <c r="E605" s="36">
        <v>310.5</v>
      </c>
      <c r="F605" s="36">
        <f>E605-G605</f>
        <v>0</v>
      </c>
      <c r="G605" s="36">
        <v>310.5</v>
      </c>
      <c r="H605" s="34">
        <v>45624</v>
      </c>
      <c r="I605" s="34"/>
      <c r="J605" s="34">
        <v>45631</v>
      </c>
      <c r="K605" s="5" t="s">
        <v>460</v>
      </c>
      <c r="L605" s="5" t="s">
        <v>303</v>
      </c>
      <c r="M605" s="5" t="s">
        <v>308</v>
      </c>
      <c r="N605" s="45"/>
    </row>
    <row r="606" spans="2:14" x14ac:dyDescent="0.25">
      <c r="B606" s="5">
        <v>642</v>
      </c>
      <c r="C606" s="34">
        <v>45625</v>
      </c>
      <c r="D606" s="5" t="s">
        <v>307</v>
      </c>
      <c r="E606" s="36">
        <v>50.27</v>
      </c>
      <c r="F606" s="36">
        <f>E606-G606</f>
        <v>0</v>
      </c>
      <c r="G606" s="36">
        <v>50.27</v>
      </c>
      <c r="H606" s="34">
        <v>45629</v>
      </c>
      <c r="I606" s="34"/>
      <c r="J606" s="34">
        <v>45631</v>
      </c>
      <c r="K606" s="5" t="s">
        <v>505</v>
      </c>
      <c r="L606" s="5" t="s">
        <v>303</v>
      </c>
      <c r="M606" s="5" t="s">
        <v>308</v>
      </c>
    </row>
    <row r="607" spans="2:14" x14ac:dyDescent="0.25">
      <c r="B607" s="5">
        <v>314</v>
      </c>
      <c r="C607" s="34">
        <v>45428</v>
      </c>
      <c r="D607" s="5" t="s">
        <v>402</v>
      </c>
      <c r="E607" s="36">
        <v>54168</v>
      </c>
      <c r="F607" s="36">
        <f>E607-G607</f>
        <v>0</v>
      </c>
      <c r="G607" s="36">
        <v>54168</v>
      </c>
      <c r="H607" s="34">
        <v>45565</v>
      </c>
      <c r="I607" s="34"/>
      <c r="J607" s="34"/>
      <c r="K607" s="5" t="s">
        <v>525</v>
      </c>
      <c r="L607" s="5" t="s">
        <v>303</v>
      </c>
      <c r="M607" s="5" t="s">
        <v>308</v>
      </c>
    </row>
    <row r="608" spans="2:14" x14ac:dyDescent="0.25">
      <c r="B608" s="5">
        <v>413</v>
      </c>
      <c r="C608" s="34">
        <v>45488</v>
      </c>
      <c r="D608" s="5" t="s">
        <v>402</v>
      </c>
      <c r="E608" s="36">
        <v>1672</v>
      </c>
      <c r="F608" s="36">
        <f>E608-G608</f>
        <v>0</v>
      </c>
      <c r="G608" s="36">
        <v>1672</v>
      </c>
      <c r="H608" s="34">
        <v>45565</v>
      </c>
      <c r="I608" s="34"/>
      <c r="J608" s="34"/>
      <c r="K608" s="5" t="s">
        <v>525</v>
      </c>
      <c r="L608" s="5" t="s">
        <v>303</v>
      </c>
    </row>
    <row r="609" spans="2:14" x14ac:dyDescent="0.25">
      <c r="B609" s="5">
        <v>414</v>
      </c>
      <c r="C609" s="34">
        <v>45488</v>
      </c>
      <c r="D609" s="5" t="s">
        <v>402</v>
      </c>
      <c r="E609" s="36">
        <v>90280</v>
      </c>
      <c r="F609" s="36">
        <f>E609-G609</f>
        <v>0</v>
      </c>
      <c r="G609" s="36">
        <v>90280</v>
      </c>
      <c r="H609" s="34">
        <v>45626</v>
      </c>
      <c r="I609" s="34"/>
      <c r="J609" s="34"/>
      <c r="K609" s="5" t="s">
        <v>525</v>
      </c>
      <c r="L609" s="5" t="s">
        <v>303</v>
      </c>
    </row>
    <row r="610" spans="2:14" x14ac:dyDescent="0.25">
      <c r="B610" s="5">
        <v>278</v>
      </c>
      <c r="C610" s="34">
        <v>45418</v>
      </c>
      <c r="D610" s="5" t="s">
        <v>463</v>
      </c>
      <c r="E610" s="36">
        <v>15300</v>
      </c>
      <c r="F610" s="36">
        <f>E610-G610</f>
        <v>0</v>
      </c>
      <c r="G610" s="36">
        <v>15300</v>
      </c>
      <c r="H610" s="34">
        <v>45504</v>
      </c>
      <c r="I610" s="34"/>
      <c r="J610" s="34">
        <v>45504</v>
      </c>
      <c r="K610" s="5" t="s">
        <v>603</v>
      </c>
      <c r="L610" s="5" t="s">
        <v>298</v>
      </c>
      <c r="N610" s="5"/>
    </row>
    <row r="611" spans="2:14" x14ac:dyDescent="0.25">
      <c r="B611" s="5">
        <v>675</v>
      </c>
      <c r="C611" s="34">
        <v>45637</v>
      </c>
      <c r="D611" s="5" t="s">
        <v>300</v>
      </c>
      <c r="E611" s="36">
        <v>16</v>
      </c>
      <c r="F611" s="36">
        <f>E611-G611</f>
        <v>0</v>
      </c>
      <c r="G611" s="36">
        <v>16</v>
      </c>
      <c r="H611" s="34">
        <v>45644</v>
      </c>
      <c r="I611" s="34"/>
      <c r="J611" s="34">
        <v>45616</v>
      </c>
      <c r="K611" s="5" t="s">
        <v>684</v>
      </c>
      <c r="L611" s="5" t="s">
        <v>298</v>
      </c>
      <c r="N611" s="5"/>
    </row>
    <row r="612" spans="2:14" x14ac:dyDescent="0.25">
      <c r="B612" s="5">
        <v>582</v>
      </c>
      <c r="C612" s="34">
        <v>45603</v>
      </c>
      <c r="D612" s="5" t="s">
        <v>404</v>
      </c>
      <c r="E612" s="36">
        <v>483.13</v>
      </c>
      <c r="F612" s="36">
        <f>E612-G612</f>
        <v>0</v>
      </c>
      <c r="G612" s="36">
        <v>483.13</v>
      </c>
      <c r="H612" s="34">
        <v>45631</v>
      </c>
      <c r="I612" s="34"/>
      <c r="J612" s="34">
        <v>45621</v>
      </c>
      <c r="K612" s="5" t="s">
        <v>684</v>
      </c>
      <c r="L612" s="5" t="s">
        <v>303</v>
      </c>
      <c r="M612" s="5" t="s">
        <v>308</v>
      </c>
      <c r="N612" s="5"/>
    </row>
    <row r="613" spans="2:14" x14ac:dyDescent="0.25">
      <c r="B613" s="5">
        <v>616</v>
      </c>
      <c r="C613" s="34">
        <v>45616</v>
      </c>
      <c r="D613" s="5" t="s">
        <v>307</v>
      </c>
      <c r="E613" s="36">
        <v>35.700000000000003</v>
      </c>
      <c r="F613" s="36">
        <f>E613-G613</f>
        <v>0</v>
      </c>
      <c r="G613" s="36">
        <v>35.700000000000003</v>
      </c>
      <c r="H613" s="34">
        <v>45618</v>
      </c>
      <c r="I613" s="34"/>
      <c r="J613" s="34">
        <v>45629</v>
      </c>
      <c r="K613" s="5" t="s">
        <v>505</v>
      </c>
      <c r="L613" s="5" t="s">
        <v>298</v>
      </c>
      <c r="N613" s="5"/>
    </row>
    <row r="614" spans="2:14" x14ac:dyDescent="0.25">
      <c r="B614" s="5">
        <v>663</v>
      </c>
      <c r="C614" s="34">
        <v>45631</v>
      </c>
      <c r="D614" s="5" t="s">
        <v>426</v>
      </c>
      <c r="E614" s="33">
        <v>416</v>
      </c>
      <c r="F614" s="33">
        <f>E614-G614</f>
        <v>0</v>
      </c>
      <c r="G614" s="33">
        <v>416</v>
      </c>
      <c r="H614" s="34">
        <v>45631</v>
      </c>
      <c r="I614" s="34"/>
      <c r="J614" s="34">
        <v>45631</v>
      </c>
      <c r="K614" s="5" t="s">
        <v>396</v>
      </c>
      <c r="L614" s="5" t="s">
        <v>298</v>
      </c>
    </row>
    <row r="615" spans="2:14" x14ac:dyDescent="0.25">
      <c r="B615" s="5">
        <v>656</v>
      </c>
      <c r="C615" s="34">
        <v>45631</v>
      </c>
      <c r="D615" s="5" t="s">
        <v>185</v>
      </c>
      <c r="E615" s="33">
        <v>198.08</v>
      </c>
      <c r="F615" s="33">
        <f>E615-G615</f>
        <v>0</v>
      </c>
      <c r="G615" s="33">
        <v>198.08</v>
      </c>
      <c r="H615" s="34">
        <v>45635</v>
      </c>
      <c r="I615" s="34"/>
      <c r="J615" s="34">
        <v>45632</v>
      </c>
      <c r="K615" s="5" t="s">
        <v>696</v>
      </c>
      <c r="L615" s="5" t="s">
        <v>298</v>
      </c>
    </row>
    <row r="616" spans="2:14" x14ac:dyDescent="0.25">
      <c r="B616" s="5">
        <v>506</v>
      </c>
      <c r="C616" s="34">
        <v>45572</v>
      </c>
      <c r="D616" s="5" t="s">
        <v>717</v>
      </c>
      <c r="E616" s="36">
        <v>2568</v>
      </c>
      <c r="F616" s="36">
        <f>E616-G616</f>
        <v>0</v>
      </c>
      <c r="G616" s="36">
        <v>2568</v>
      </c>
      <c r="H616" s="34">
        <v>45611</v>
      </c>
      <c r="I616" s="34"/>
      <c r="J616" s="34">
        <v>45635</v>
      </c>
      <c r="K616" s="5" t="s">
        <v>684</v>
      </c>
      <c r="L616" s="5" t="s">
        <v>309</v>
      </c>
      <c r="M616" s="5" t="s">
        <v>308</v>
      </c>
      <c r="N616" s="99"/>
    </row>
    <row r="617" spans="2:14" x14ac:dyDescent="0.25">
      <c r="B617" s="5">
        <v>653</v>
      </c>
      <c r="C617" s="34">
        <v>45630</v>
      </c>
      <c r="D617" s="5" t="s">
        <v>23</v>
      </c>
      <c r="E617" s="36">
        <v>466.22</v>
      </c>
      <c r="F617" s="36">
        <f>E617-G617</f>
        <v>0</v>
      </c>
      <c r="G617" s="36">
        <v>466.22</v>
      </c>
      <c r="H617" s="34">
        <v>45635</v>
      </c>
      <c r="I617" s="34"/>
      <c r="J617" s="34">
        <v>45635</v>
      </c>
      <c r="K617" s="5" t="s">
        <v>686</v>
      </c>
      <c r="L617" s="5" t="s">
        <v>298</v>
      </c>
    </row>
    <row r="618" spans="2:14" x14ac:dyDescent="0.25">
      <c r="B618" s="5">
        <v>646</v>
      </c>
      <c r="C618" s="34">
        <v>45628</v>
      </c>
      <c r="D618" s="5" t="s">
        <v>300</v>
      </c>
      <c r="E618" s="36">
        <v>50</v>
      </c>
      <c r="F618" s="36">
        <f>E618-G618</f>
        <v>0</v>
      </c>
      <c r="G618" s="36">
        <v>50</v>
      </c>
      <c r="H618" s="34">
        <v>45632</v>
      </c>
      <c r="I618" s="34"/>
      <c r="J618" s="34">
        <v>45636</v>
      </c>
      <c r="K618" s="5" t="s">
        <v>716</v>
      </c>
    </row>
    <row r="619" spans="2:14" x14ac:dyDescent="0.25">
      <c r="B619" s="5">
        <v>647</v>
      </c>
      <c r="C619" s="34">
        <v>45628</v>
      </c>
      <c r="D619" s="5" t="s">
        <v>300</v>
      </c>
      <c r="E619" s="36">
        <v>12</v>
      </c>
      <c r="F619" s="36">
        <f>E619-G619</f>
        <v>0</v>
      </c>
      <c r="G619" s="36">
        <v>12</v>
      </c>
      <c r="H619" s="34">
        <v>45632</v>
      </c>
      <c r="I619" s="34"/>
      <c r="J619" s="34">
        <v>45636</v>
      </c>
      <c r="K619" s="5" t="s">
        <v>709</v>
      </c>
    </row>
    <row r="620" spans="2:14" x14ac:dyDescent="0.25">
      <c r="B620" s="5">
        <v>633</v>
      </c>
      <c r="C620" s="34">
        <v>45622</v>
      </c>
      <c r="D620" s="5" t="s">
        <v>481</v>
      </c>
      <c r="E620" s="36">
        <v>250</v>
      </c>
      <c r="F620" s="36">
        <f>E620-G620</f>
        <v>0</v>
      </c>
      <c r="G620" s="36">
        <v>250</v>
      </c>
      <c r="H620" s="34">
        <v>45629</v>
      </c>
      <c r="I620" s="34"/>
      <c r="J620" s="34">
        <v>45636</v>
      </c>
      <c r="K620" s="5" t="s">
        <v>684</v>
      </c>
      <c r="L620" s="5" t="s">
        <v>298</v>
      </c>
    </row>
    <row r="621" spans="2:14" x14ac:dyDescent="0.25">
      <c r="B621" s="5">
        <v>655</v>
      </c>
      <c r="C621" s="34">
        <v>45630</v>
      </c>
      <c r="D621" s="5" t="s">
        <v>23</v>
      </c>
      <c r="E621" s="36">
        <v>1706.3</v>
      </c>
      <c r="F621" s="36">
        <f>E621-G621</f>
        <v>0</v>
      </c>
      <c r="G621" s="36">
        <v>1706.3</v>
      </c>
      <c r="H621" s="34">
        <v>45635</v>
      </c>
      <c r="I621" s="34"/>
      <c r="J621" s="34">
        <v>45636</v>
      </c>
      <c r="K621" s="5" t="s">
        <v>686</v>
      </c>
      <c r="L621" s="5" t="s">
        <v>298</v>
      </c>
    </row>
    <row r="622" spans="2:14" x14ac:dyDescent="0.25">
      <c r="B622" s="5">
        <v>667</v>
      </c>
      <c r="C622" s="34">
        <v>45632</v>
      </c>
      <c r="D622" s="5" t="s">
        <v>23</v>
      </c>
      <c r="E622" s="36">
        <v>211.15</v>
      </c>
      <c r="F622" s="36">
        <f>E622-G622</f>
        <v>0</v>
      </c>
      <c r="G622" s="36">
        <v>211.15</v>
      </c>
      <c r="H622" s="34">
        <v>45637</v>
      </c>
      <c r="I622" s="34"/>
      <c r="J622" s="34">
        <v>45636</v>
      </c>
      <c r="K622" s="5" t="s">
        <v>686</v>
      </c>
      <c r="L622" s="5" t="s">
        <v>298</v>
      </c>
    </row>
    <row r="623" spans="2:14" x14ac:dyDescent="0.25">
      <c r="B623" s="5">
        <v>668</v>
      </c>
      <c r="C623" s="34">
        <v>45632</v>
      </c>
      <c r="D623" s="5" t="s">
        <v>328</v>
      </c>
      <c r="E623" s="36">
        <v>112.5</v>
      </c>
      <c r="F623" s="36">
        <f>E623-G623</f>
        <v>0</v>
      </c>
      <c r="G623" s="36">
        <v>112.5</v>
      </c>
      <c r="H623" s="34">
        <v>45635</v>
      </c>
      <c r="I623" s="34"/>
      <c r="J623" s="34">
        <v>45636</v>
      </c>
      <c r="K623" s="5" t="s">
        <v>686</v>
      </c>
      <c r="L623" s="5" t="s">
        <v>298</v>
      </c>
    </row>
    <row r="624" spans="2:14" x14ac:dyDescent="0.25">
      <c r="B624" s="5">
        <v>658</v>
      </c>
      <c r="C624" s="34">
        <v>45631</v>
      </c>
      <c r="D624" s="5" t="s">
        <v>402</v>
      </c>
      <c r="E624" s="36">
        <v>1768</v>
      </c>
      <c r="F624" s="36">
        <f>E624-G624</f>
        <v>0</v>
      </c>
      <c r="G624" s="36">
        <v>1768</v>
      </c>
      <c r="H624" s="34">
        <v>45638</v>
      </c>
      <c r="I624" s="34"/>
      <c r="J624" s="34">
        <v>45637</v>
      </c>
      <c r="K624" s="5" t="s">
        <v>712</v>
      </c>
      <c r="L624" s="5" t="s">
        <v>298</v>
      </c>
    </row>
    <row r="625" spans="2:15" x14ac:dyDescent="0.25">
      <c r="B625" s="5">
        <v>567</v>
      </c>
      <c r="C625" s="34">
        <v>45600</v>
      </c>
      <c r="D625" s="5" t="s">
        <v>392</v>
      </c>
      <c r="E625" s="36">
        <f>O625*O2</f>
        <v>3989.886</v>
      </c>
      <c r="F625" s="36">
        <f>E625-G625</f>
        <v>-3.9999999999054126E-3</v>
      </c>
      <c r="G625" s="36">
        <v>3989.89</v>
      </c>
      <c r="H625" s="34">
        <v>45632</v>
      </c>
      <c r="I625" s="34"/>
      <c r="J625" s="34">
        <v>45637</v>
      </c>
      <c r="K625" s="5" t="s">
        <v>382</v>
      </c>
      <c r="L625" s="5" t="s">
        <v>298</v>
      </c>
      <c r="N625" s="5" t="s">
        <v>715</v>
      </c>
      <c r="O625" s="47">
        <v>4290.2</v>
      </c>
    </row>
    <row r="626" spans="2:15" x14ac:dyDescent="0.25">
      <c r="B626" s="5">
        <v>666</v>
      </c>
      <c r="C626" s="34">
        <v>45632</v>
      </c>
      <c r="D626" s="5" t="s">
        <v>403</v>
      </c>
      <c r="E626" s="36">
        <v>277.5</v>
      </c>
      <c r="F626" s="36">
        <f>E626-G626</f>
        <v>0</v>
      </c>
      <c r="G626" s="36">
        <v>277.5</v>
      </c>
      <c r="H626" s="34">
        <v>45636</v>
      </c>
      <c r="I626" s="34"/>
      <c r="J626" s="34">
        <v>45637</v>
      </c>
      <c r="K626" s="5" t="s">
        <v>686</v>
      </c>
      <c r="L626" s="5" t="s">
        <v>298</v>
      </c>
    </row>
    <row r="627" spans="2:15" x14ac:dyDescent="0.25">
      <c r="B627" s="5">
        <v>659</v>
      </c>
      <c r="C627" s="34">
        <v>45631</v>
      </c>
      <c r="D627" s="5" t="s">
        <v>357</v>
      </c>
      <c r="E627" s="33">
        <v>108.1</v>
      </c>
      <c r="F627" s="33">
        <f>E627-G627</f>
        <v>0</v>
      </c>
      <c r="G627" s="33">
        <v>108.1</v>
      </c>
      <c r="H627" s="34">
        <v>45641</v>
      </c>
      <c r="I627" s="34"/>
      <c r="J627" s="34">
        <v>45638</v>
      </c>
      <c r="K627" s="5" t="s">
        <v>684</v>
      </c>
      <c r="L627" s="5" t="s">
        <v>298</v>
      </c>
    </row>
    <row r="628" spans="2:15" x14ac:dyDescent="0.25">
      <c r="B628" s="5">
        <v>661</v>
      </c>
      <c r="C628" s="34">
        <v>45631</v>
      </c>
      <c r="D628" s="5" t="s">
        <v>491</v>
      </c>
      <c r="E628" s="33">
        <v>164</v>
      </c>
      <c r="F628" s="33">
        <f>E628-G628</f>
        <v>0</v>
      </c>
      <c r="G628" s="33">
        <v>164</v>
      </c>
      <c r="H628" s="34">
        <v>45641</v>
      </c>
      <c r="I628" s="34"/>
      <c r="J628" s="34">
        <v>45639</v>
      </c>
      <c r="K628" s="5" t="s">
        <v>684</v>
      </c>
      <c r="L628" s="5" t="s">
        <v>298</v>
      </c>
    </row>
    <row r="629" spans="2:15" x14ac:dyDescent="0.25">
      <c r="B629" s="5">
        <v>684</v>
      </c>
      <c r="C629" s="34">
        <v>45638</v>
      </c>
      <c r="D629" s="5" t="s">
        <v>436</v>
      </c>
      <c r="E629" s="33">
        <v>48</v>
      </c>
      <c r="F629" s="33">
        <f>E629-G629</f>
        <v>0</v>
      </c>
      <c r="G629" s="33">
        <v>48</v>
      </c>
      <c r="H629" s="34">
        <v>45639</v>
      </c>
      <c r="I629" s="34"/>
      <c r="J629" s="34">
        <v>45639</v>
      </c>
      <c r="K629" s="5" t="s">
        <v>525</v>
      </c>
      <c r="L629" s="5" t="s">
        <v>298</v>
      </c>
    </row>
    <row r="630" spans="2:15" x14ac:dyDescent="0.25">
      <c r="B630" s="5">
        <v>677</v>
      </c>
      <c r="C630" s="34">
        <v>45637</v>
      </c>
      <c r="D630" s="5" t="s">
        <v>402</v>
      </c>
      <c r="E630" s="33">
        <v>275</v>
      </c>
      <c r="F630" s="33">
        <f>E630-G630</f>
        <v>0</v>
      </c>
      <c r="G630" s="33">
        <v>275</v>
      </c>
      <c r="H630" s="34">
        <v>45642</v>
      </c>
      <c r="I630" s="34"/>
      <c r="J630" s="34">
        <v>45639</v>
      </c>
      <c r="K630" s="5" t="s">
        <v>684</v>
      </c>
      <c r="L630" s="5" t="s">
        <v>298</v>
      </c>
    </row>
    <row r="631" spans="2:15" x14ac:dyDescent="0.25">
      <c r="B631" s="5">
        <v>657</v>
      </c>
      <c r="C631" s="34">
        <v>45631</v>
      </c>
      <c r="D631" s="5" t="s">
        <v>537</v>
      </c>
      <c r="E631" s="33">
        <v>290.7</v>
      </c>
      <c r="F631" s="33">
        <f>E631-G631</f>
        <v>0</v>
      </c>
      <c r="G631" s="33">
        <v>290.7</v>
      </c>
      <c r="H631" s="34">
        <v>45635</v>
      </c>
      <c r="I631" s="34"/>
      <c r="J631" s="34">
        <v>45639</v>
      </c>
      <c r="K631" s="5" t="s">
        <v>714</v>
      </c>
      <c r="L631" s="5" t="s">
        <v>298</v>
      </c>
    </row>
    <row r="632" spans="2:15" x14ac:dyDescent="0.25">
      <c r="B632" s="5">
        <v>674</v>
      </c>
      <c r="C632" s="34">
        <v>45637</v>
      </c>
      <c r="D632" s="5" t="s">
        <v>328</v>
      </c>
      <c r="E632" s="33">
        <v>111.59</v>
      </c>
      <c r="F632" s="33">
        <f>E632-G632</f>
        <v>0</v>
      </c>
      <c r="G632" s="33">
        <v>111.59</v>
      </c>
      <c r="H632" s="34">
        <v>45638</v>
      </c>
      <c r="I632" s="34"/>
      <c r="J632" s="34">
        <v>45639</v>
      </c>
      <c r="K632" s="5" t="s">
        <v>684</v>
      </c>
      <c r="L632" s="5" t="s">
        <v>298</v>
      </c>
    </row>
    <row r="633" spans="2:15" x14ac:dyDescent="0.25">
      <c r="B633" s="5">
        <v>678</v>
      </c>
      <c r="C633" s="34">
        <v>45637</v>
      </c>
      <c r="D633" s="5" t="s">
        <v>328</v>
      </c>
      <c r="E633" s="33">
        <v>73.7</v>
      </c>
      <c r="F633" s="33">
        <f>E633-G633</f>
        <v>0</v>
      </c>
      <c r="G633" s="33">
        <v>73.7</v>
      </c>
      <c r="H633" s="34">
        <v>45639</v>
      </c>
      <c r="I633" s="34"/>
      <c r="J633" s="34">
        <v>45639</v>
      </c>
      <c r="K633" s="5" t="s">
        <v>686</v>
      </c>
      <c r="L633" s="5" t="s">
        <v>298</v>
      </c>
    </row>
    <row r="634" spans="2:15" x14ac:dyDescent="0.25">
      <c r="B634" s="5">
        <v>683</v>
      </c>
      <c r="C634" s="34">
        <v>45638</v>
      </c>
      <c r="D634" s="5" t="s">
        <v>307</v>
      </c>
      <c r="E634" s="33">
        <v>14.58</v>
      </c>
      <c r="F634" s="33">
        <f>E634-G634</f>
        <v>0</v>
      </c>
      <c r="G634" s="33">
        <v>14.58</v>
      </c>
      <c r="H634" s="34">
        <v>45642</v>
      </c>
      <c r="I634" s="34"/>
      <c r="J634" s="34">
        <v>45639</v>
      </c>
      <c r="K634" s="5" t="s">
        <v>401</v>
      </c>
      <c r="L634" s="5" t="s">
        <v>298</v>
      </c>
    </row>
    <row r="635" spans="2:15" x14ac:dyDescent="0.25">
      <c r="B635" s="5">
        <v>621</v>
      </c>
      <c r="C635" s="34">
        <v>45617</v>
      </c>
      <c r="D635" s="5" t="s">
        <v>314</v>
      </c>
      <c r="E635" s="33">
        <v>786.15</v>
      </c>
      <c r="F635" s="33">
        <f>E635-G635</f>
        <v>0</v>
      </c>
      <c r="G635" s="33">
        <v>786.15</v>
      </c>
      <c r="H635" s="34">
        <v>45639</v>
      </c>
      <c r="I635" s="34"/>
      <c r="J635" s="34">
        <v>45639</v>
      </c>
      <c r="K635" s="5" t="s">
        <v>684</v>
      </c>
      <c r="L635" s="5" t="s">
        <v>298</v>
      </c>
    </row>
    <row r="636" spans="2:15" x14ac:dyDescent="0.25">
      <c r="B636" s="5">
        <v>682</v>
      </c>
      <c r="C636" s="34">
        <v>45638</v>
      </c>
      <c r="D636" s="5" t="s">
        <v>170</v>
      </c>
      <c r="E636" s="33">
        <v>53</v>
      </c>
      <c r="F636" s="33">
        <f>E636-G636</f>
        <v>0</v>
      </c>
      <c r="G636" s="33">
        <v>53</v>
      </c>
      <c r="H636" s="34">
        <v>45639</v>
      </c>
      <c r="I636" s="34"/>
      <c r="J636" s="34">
        <v>45642</v>
      </c>
      <c r="K636" s="5" t="s">
        <v>401</v>
      </c>
      <c r="L636" s="5" t="s">
        <v>298</v>
      </c>
    </row>
    <row r="637" spans="2:15" x14ac:dyDescent="0.25">
      <c r="B637" s="5">
        <v>681</v>
      </c>
      <c r="C637" s="34">
        <v>45638</v>
      </c>
      <c r="D637" s="5" t="s">
        <v>23</v>
      </c>
      <c r="E637" s="33">
        <v>80.900000000000006</v>
      </c>
      <c r="F637" s="33">
        <f>E637-G637</f>
        <v>0</v>
      </c>
      <c r="G637" s="33">
        <v>80.900000000000006</v>
      </c>
      <c r="H637" s="34">
        <v>45642</v>
      </c>
      <c r="I637" s="34"/>
      <c r="J637" s="34">
        <v>45642</v>
      </c>
      <c r="K637" s="5" t="s">
        <v>684</v>
      </c>
      <c r="L637" s="5" t="s">
        <v>298</v>
      </c>
    </row>
    <row r="638" spans="2:15" x14ac:dyDescent="0.25">
      <c r="B638" s="5">
        <v>686</v>
      </c>
      <c r="C638" s="34">
        <v>45639</v>
      </c>
      <c r="D638" s="5" t="s">
        <v>307</v>
      </c>
      <c r="E638" s="33">
        <v>24.53</v>
      </c>
      <c r="F638" s="33">
        <f>E638-G638</f>
        <v>0</v>
      </c>
      <c r="G638" s="33">
        <v>24.53</v>
      </c>
      <c r="H638" s="34">
        <v>45643</v>
      </c>
      <c r="I638" s="34"/>
      <c r="J638" s="34">
        <v>45642</v>
      </c>
      <c r="K638" s="5" t="s">
        <v>401</v>
      </c>
      <c r="L638" s="5" t="s">
        <v>298</v>
      </c>
    </row>
    <row r="639" spans="2:15" x14ac:dyDescent="0.25">
      <c r="B639" s="5">
        <v>688</v>
      </c>
      <c r="C639" s="34">
        <v>45639</v>
      </c>
      <c r="D639" s="5" t="s">
        <v>177</v>
      </c>
      <c r="E639" s="36">
        <v>278.01</v>
      </c>
      <c r="F639" s="36">
        <f>E639-G639</f>
        <v>0</v>
      </c>
      <c r="G639" s="36">
        <v>278.01</v>
      </c>
      <c r="H639" s="34">
        <v>45646</v>
      </c>
      <c r="I639" s="34"/>
      <c r="J639" s="34">
        <v>45642</v>
      </c>
      <c r="K639" s="5" t="s">
        <v>713</v>
      </c>
      <c r="L639" s="5" t="s">
        <v>303</v>
      </c>
    </row>
    <row r="640" spans="2:15" x14ac:dyDescent="0.25">
      <c r="B640" s="5">
        <v>680</v>
      </c>
      <c r="C640" s="34">
        <v>45637</v>
      </c>
      <c r="D640" s="5" t="s">
        <v>23</v>
      </c>
      <c r="E640" s="33">
        <v>145.29</v>
      </c>
      <c r="F640" s="33">
        <f>E640-G640</f>
        <v>0</v>
      </c>
      <c r="G640" s="33">
        <v>145.29</v>
      </c>
      <c r="H640" s="34">
        <v>45642</v>
      </c>
      <c r="I640" s="34"/>
      <c r="J640" s="34">
        <v>45642</v>
      </c>
      <c r="K640" s="5" t="s">
        <v>686</v>
      </c>
      <c r="L640" s="5" t="s">
        <v>298</v>
      </c>
      <c r="N640" s="5"/>
    </row>
    <row r="641" spans="2:14" x14ac:dyDescent="0.25">
      <c r="B641" s="5">
        <v>670</v>
      </c>
      <c r="C641" s="34">
        <v>45636</v>
      </c>
      <c r="D641" s="5" t="s">
        <v>436</v>
      </c>
      <c r="E641" s="33">
        <v>150</v>
      </c>
      <c r="F641" s="33">
        <f>E641-G641</f>
        <v>0</v>
      </c>
      <c r="G641" s="33">
        <v>150</v>
      </c>
      <c r="H641" s="34">
        <v>45643</v>
      </c>
      <c r="I641" s="34"/>
      <c r="J641" s="34">
        <v>45643</v>
      </c>
      <c r="K641" s="5" t="s">
        <v>684</v>
      </c>
      <c r="L641" s="5" t="s">
        <v>298</v>
      </c>
    </row>
    <row r="642" spans="2:14" x14ac:dyDescent="0.25">
      <c r="B642" s="5">
        <v>672</v>
      </c>
      <c r="C642" s="34">
        <v>45636</v>
      </c>
      <c r="D642" s="5" t="s">
        <v>436</v>
      </c>
      <c r="E642" s="36">
        <v>296</v>
      </c>
      <c r="F642" s="36">
        <f>E642-G642</f>
        <v>0</v>
      </c>
      <c r="G642" s="36">
        <v>296</v>
      </c>
      <c r="H642" s="34">
        <v>45643</v>
      </c>
      <c r="I642" s="34"/>
      <c r="J642" s="34">
        <v>45643</v>
      </c>
      <c r="K642" s="5" t="s">
        <v>525</v>
      </c>
      <c r="L642" s="5" t="s">
        <v>298</v>
      </c>
    </row>
    <row r="643" spans="2:14" x14ac:dyDescent="0.25">
      <c r="B643" s="5">
        <v>689</v>
      </c>
      <c r="C643" s="34">
        <v>45639</v>
      </c>
      <c r="D643" s="5" t="s">
        <v>580</v>
      </c>
      <c r="E643" s="36">
        <v>400</v>
      </c>
      <c r="F643" s="36">
        <f>E643-G643</f>
        <v>0</v>
      </c>
      <c r="G643" s="36">
        <v>400</v>
      </c>
      <c r="H643" s="34">
        <v>45639</v>
      </c>
      <c r="I643" s="34"/>
      <c r="J643" s="34">
        <v>45643</v>
      </c>
      <c r="K643" s="5" t="s">
        <v>345</v>
      </c>
      <c r="L643" s="5" t="s">
        <v>298</v>
      </c>
      <c r="N643" s="45"/>
    </row>
    <row r="644" spans="2:14" x14ac:dyDescent="0.25">
      <c r="B644" s="5">
        <v>595</v>
      </c>
      <c r="C644" s="34">
        <v>45608</v>
      </c>
      <c r="D644" s="5" t="s">
        <v>314</v>
      </c>
      <c r="E644" s="36">
        <v>517.26</v>
      </c>
      <c r="F644" s="36">
        <f>E644-G644</f>
        <v>0</v>
      </c>
      <c r="G644" s="36">
        <v>517.26</v>
      </c>
      <c r="H644" s="34">
        <v>45622</v>
      </c>
      <c r="I644" s="34"/>
      <c r="J644" s="34">
        <v>45643</v>
      </c>
      <c r="K644" s="5" t="s">
        <v>684</v>
      </c>
      <c r="L644" s="5" t="s">
        <v>303</v>
      </c>
      <c r="M644" s="5" t="s">
        <v>308</v>
      </c>
      <c r="N644" s="45"/>
    </row>
    <row r="645" spans="2:14" x14ac:dyDescent="0.25">
      <c r="B645" s="5">
        <v>685</v>
      </c>
      <c r="C645" s="34">
        <v>45639</v>
      </c>
      <c r="D645" s="5" t="s">
        <v>300</v>
      </c>
      <c r="E645" s="36">
        <v>58.5</v>
      </c>
      <c r="F645" s="36">
        <f>E645-G645</f>
        <v>0</v>
      </c>
      <c r="G645" s="36">
        <v>58.5</v>
      </c>
      <c r="H645" s="34">
        <v>45646</v>
      </c>
      <c r="I645" s="34"/>
      <c r="J645" s="34">
        <v>45645</v>
      </c>
      <c r="K645" s="5" t="s">
        <v>525</v>
      </c>
      <c r="L645" s="5" t="s">
        <v>298</v>
      </c>
    </row>
    <row r="646" spans="2:14" x14ac:dyDescent="0.25">
      <c r="B646" s="5">
        <v>679</v>
      </c>
      <c r="C646" s="34">
        <v>45637</v>
      </c>
      <c r="D646" s="5" t="s">
        <v>300</v>
      </c>
      <c r="E646" s="36">
        <v>175.5</v>
      </c>
      <c r="F646" s="36">
        <f>E646-G646</f>
        <v>0</v>
      </c>
      <c r="G646" s="36">
        <v>175.5</v>
      </c>
      <c r="H646" s="34">
        <v>45644</v>
      </c>
      <c r="I646" s="34"/>
      <c r="J646" s="34">
        <v>45645</v>
      </c>
      <c r="K646" s="5" t="s">
        <v>525</v>
      </c>
      <c r="L646" s="5" t="s">
        <v>298</v>
      </c>
    </row>
    <row r="647" spans="2:14" x14ac:dyDescent="0.25">
      <c r="B647" s="5">
        <v>660</v>
      </c>
      <c r="C647" s="34">
        <v>45631</v>
      </c>
      <c r="D647" s="5" t="s">
        <v>300</v>
      </c>
      <c r="E647" s="36">
        <v>338</v>
      </c>
      <c r="F647" s="36">
        <f>E647-G647</f>
        <v>0</v>
      </c>
      <c r="G647" s="36">
        <v>338</v>
      </c>
      <c r="H647" s="34">
        <v>45642</v>
      </c>
      <c r="I647" s="34"/>
      <c r="J647" s="34">
        <v>45645</v>
      </c>
      <c r="K647" s="5" t="s">
        <v>712</v>
      </c>
      <c r="L647" s="5" t="s">
        <v>298</v>
      </c>
    </row>
    <row r="648" spans="2:14" x14ac:dyDescent="0.25">
      <c r="B648" s="5">
        <v>694</v>
      </c>
      <c r="C648" s="34">
        <v>45644</v>
      </c>
      <c r="D648" s="5" t="s">
        <v>436</v>
      </c>
      <c r="E648" s="36">
        <v>120</v>
      </c>
      <c r="F648" s="36">
        <f>E648-G648</f>
        <v>0</v>
      </c>
      <c r="G648" s="36">
        <v>120</v>
      </c>
      <c r="H648" s="34">
        <v>45645</v>
      </c>
      <c r="I648" s="34"/>
      <c r="J648" s="34">
        <v>45645</v>
      </c>
      <c r="K648" s="5" t="s">
        <v>711</v>
      </c>
      <c r="L648" s="5" t="s">
        <v>298</v>
      </c>
    </row>
    <row r="649" spans="2:14" x14ac:dyDescent="0.25">
      <c r="B649" s="5">
        <v>671</v>
      </c>
      <c r="C649" s="34">
        <v>45636</v>
      </c>
      <c r="D649" s="5" t="s">
        <v>300</v>
      </c>
      <c r="E649" s="36">
        <v>328</v>
      </c>
      <c r="F649" s="36">
        <f>E649-G649</f>
        <v>0</v>
      </c>
      <c r="G649" s="36">
        <v>328</v>
      </c>
      <c r="H649" s="34">
        <v>45644</v>
      </c>
      <c r="I649" s="34"/>
      <c r="J649" s="34">
        <v>45645</v>
      </c>
      <c r="K649" s="5" t="s">
        <v>684</v>
      </c>
      <c r="L649" s="5" t="s">
        <v>298</v>
      </c>
      <c r="N649" s="5"/>
    </row>
    <row r="650" spans="2:14" x14ac:dyDescent="0.25">
      <c r="B650" s="5">
        <v>586</v>
      </c>
      <c r="C650" s="34">
        <v>45604</v>
      </c>
      <c r="D650" s="5" t="s">
        <v>710</v>
      </c>
      <c r="E650" s="36">
        <v>20190</v>
      </c>
      <c r="F650" s="36">
        <f>E650-G650</f>
        <v>0</v>
      </c>
      <c r="G650" s="36">
        <v>20190</v>
      </c>
      <c r="H650" s="34">
        <v>45657</v>
      </c>
      <c r="I650" s="34"/>
      <c r="J650" s="34">
        <v>45645</v>
      </c>
      <c r="K650" s="5" t="s">
        <v>603</v>
      </c>
      <c r="L650" s="5" t="s">
        <v>298</v>
      </c>
    </row>
    <row r="651" spans="2:14" x14ac:dyDescent="0.25">
      <c r="B651" s="5">
        <v>641</v>
      </c>
      <c r="C651" s="34">
        <v>45624</v>
      </c>
      <c r="D651" s="5" t="s">
        <v>300</v>
      </c>
      <c r="E651" s="36">
        <v>100</v>
      </c>
      <c r="F651" s="36">
        <f>E651-G651</f>
        <v>0</v>
      </c>
      <c r="G651" s="36">
        <v>100</v>
      </c>
      <c r="H651" s="34">
        <v>45639</v>
      </c>
      <c r="I651" s="34"/>
      <c r="J651" s="34">
        <v>45645</v>
      </c>
      <c r="K651" s="5" t="s">
        <v>684</v>
      </c>
      <c r="L651" s="5" t="s">
        <v>298</v>
      </c>
    </row>
    <row r="652" spans="2:14" x14ac:dyDescent="0.25">
      <c r="B652" s="5">
        <v>617</v>
      </c>
      <c r="C652" s="34">
        <v>45616</v>
      </c>
      <c r="D652" s="5" t="s">
        <v>402</v>
      </c>
      <c r="E652" s="36">
        <v>186.8</v>
      </c>
      <c r="F652" s="36">
        <f>E652-G652</f>
        <v>0</v>
      </c>
      <c r="G652" s="36">
        <v>186.8</v>
      </c>
      <c r="H652" s="34">
        <v>45621</v>
      </c>
      <c r="I652" s="34"/>
      <c r="J652" s="34">
        <v>45645</v>
      </c>
      <c r="K652" s="5" t="s">
        <v>709</v>
      </c>
      <c r="L652" s="5" t="s">
        <v>298</v>
      </c>
      <c r="N652" s="45"/>
    </row>
    <row r="653" spans="2:14" x14ac:dyDescent="0.25">
      <c r="B653" s="5">
        <v>615</v>
      </c>
      <c r="C653" s="34">
        <v>45615</v>
      </c>
      <c r="D653" s="5" t="s">
        <v>402</v>
      </c>
      <c r="E653" s="36">
        <v>91</v>
      </c>
      <c r="F653" s="36">
        <f>E653-G653</f>
        <v>0</v>
      </c>
      <c r="G653" s="36">
        <v>91</v>
      </c>
      <c r="H653" s="34">
        <v>45618</v>
      </c>
      <c r="I653" s="34"/>
      <c r="J653" s="34">
        <v>45645</v>
      </c>
      <c r="K653" s="5" t="s">
        <v>525</v>
      </c>
      <c r="L653" s="5" t="s">
        <v>309</v>
      </c>
      <c r="M653" s="5" t="s">
        <v>308</v>
      </c>
      <c r="N653" s="45"/>
    </row>
    <row r="654" spans="2:14" x14ac:dyDescent="0.25">
      <c r="B654" s="5">
        <v>445</v>
      </c>
      <c r="C654" s="34">
        <v>45504</v>
      </c>
      <c r="D654" s="5" t="s">
        <v>636</v>
      </c>
      <c r="E654" s="36">
        <v>800</v>
      </c>
      <c r="F654" s="36">
        <f>E654-G654</f>
        <v>0</v>
      </c>
      <c r="G654" s="36">
        <v>800</v>
      </c>
      <c r="H654" s="34">
        <v>45555</v>
      </c>
      <c r="I654" s="34"/>
      <c r="J654" s="34">
        <v>45645</v>
      </c>
      <c r="K654" s="5" t="s">
        <v>708</v>
      </c>
      <c r="L654" s="5" t="s">
        <v>298</v>
      </c>
      <c r="N654" s="45"/>
    </row>
    <row r="655" spans="2:14" x14ac:dyDescent="0.25">
      <c r="B655" s="5">
        <v>704</v>
      </c>
      <c r="C655" s="34">
        <v>45645</v>
      </c>
      <c r="D655" s="5" t="s">
        <v>307</v>
      </c>
      <c r="E655" s="36">
        <v>121.98</v>
      </c>
      <c r="F655" s="36">
        <f>E655-G655</f>
        <v>0</v>
      </c>
      <c r="G655" s="36">
        <v>121.98</v>
      </c>
      <c r="H655" s="34">
        <v>45646</v>
      </c>
      <c r="I655" s="34"/>
      <c r="J655" s="34">
        <v>45646</v>
      </c>
      <c r="K655" s="5" t="s">
        <v>505</v>
      </c>
      <c r="L655" s="5" t="s">
        <v>298</v>
      </c>
    </row>
    <row r="656" spans="2:14" x14ac:dyDescent="0.25">
      <c r="B656" s="5">
        <v>703</v>
      </c>
      <c r="C656" s="34">
        <v>45645</v>
      </c>
      <c r="D656" s="5" t="s">
        <v>307</v>
      </c>
      <c r="E656" s="36">
        <v>121.98</v>
      </c>
      <c r="F656" s="36">
        <f>E656-G656</f>
        <v>0</v>
      </c>
      <c r="G656" s="36">
        <v>121.98</v>
      </c>
      <c r="H656" s="34">
        <v>45646</v>
      </c>
      <c r="I656" s="34"/>
      <c r="J656" s="34">
        <v>45646</v>
      </c>
      <c r="K656" s="5" t="s">
        <v>505</v>
      </c>
      <c r="L656" s="5" t="s">
        <v>298</v>
      </c>
    </row>
    <row r="657" spans="2:26" x14ac:dyDescent="0.25">
      <c r="B657" s="5">
        <v>654</v>
      </c>
      <c r="C657" s="34">
        <v>45630</v>
      </c>
      <c r="D657" s="5" t="s">
        <v>626</v>
      </c>
      <c r="E657" s="36">
        <v>1422.1</v>
      </c>
      <c r="F657" s="36">
        <f>E657-G657</f>
        <v>0</v>
      </c>
      <c r="G657" s="36">
        <v>1422.1</v>
      </c>
      <c r="H657" s="34">
        <v>45657</v>
      </c>
      <c r="I657" s="34"/>
      <c r="J657" s="34">
        <v>45656</v>
      </c>
      <c r="K657" s="5" t="s">
        <v>707</v>
      </c>
      <c r="L657" s="5" t="s">
        <v>298</v>
      </c>
    </row>
    <row r="658" spans="2:26" x14ac:dyDescent="0.25">
      <c r="B658" s="5">
        <v>706</v>
      </c>
      <c r="C658" s="34">
        <v>45645</v>
      </c>
      <c r="D658" s="5" t="s">
        <v>706</v>
      </c>
      <c r="E658" s="36">
        <v>900</v>
      </c>
      <c r="F658" s="36">
        <f>E658-G658</f>
        <v>0</v>
      </c>
      <c r="G658" s="36">
        <v>900</v>
      </c>
      <c r="H658" s="34">
        <v>45645</v>
      </c>
      <c r="I658" s="34"/>
      <c r="J658" s="34">
        <v>45656</v>
      </c>
      <c r="K658" s="5" t="s">
        <v>705</v>
      </c>
      <c r="L658" s="5" t="s">
        <v>298</v>
      </c>
    </row>
    <row r="659" spans="2:26" x14ac:dyDescent="0.25">
      <c r="B659" s="5">
        <v>644</v>
      </c>
      <c r="C659" s="34">
        <v>45628</v>
      </c>
      <c r="D659" s="5" t="s">
        <v>470</v>
      </c>
      <c r="E659" s="36">
        <v>2400</v>
      </c>
      <c r="F659" s="36">
        <f>E659-G659</f>
        <v>0</v>
      </c>
      <c r="G659" s="36">
        <v>2400</v>
      </c>
      <c r="H659" s="34">
        <v>45657</v>
      </c>
      <c r="I659" s="34"/>
      <c r="J659" s="34">
        <v>45657</v>
      </c>
      <c r="K659" s="5" t="s">
        <v>704</v>
      </c>
      <c r="L659" s="5" t="s">
        <v>298</v>
      </c>
    </row>
    <row r="660" spans="2:26" x14ac:dyDescent="0.25">
      <c r="B660" s="5">
        <v>711</v>
      </c>
      <c r="C660" s="34">
        <v>45656</v>
      </c>
      <c r="D660" s="5" t="s">
        <v>463</v>
      </c>
      <c r="E660" s="36">
        <v>20000</v>
      </c>
      <c r="F660" s="36">
        <f>E660-G660</f>
        <v>0</v>
      </c>
      <c r="G660" s="36">
        <v>20000</v>
      </c>
      <c r="H660" s="34">
        <v>45657</v>
      </c>
      <c r="I660" s="34"/>
      <c r="J660" s="34">
        <v>45657</v>
      </c>
      <c r="K660" s="5" t="s">
        <v>313</v>
      </c>
      <c r="L660" s="5" t="s">
        <v>298</v>
      </c>
    </row>
    <row r="661" spans="2:26" x14ac:dyDescent="0.25">
      <c r="B661" s="5">
        <v>710</v>
      </c>
      <c r="C661" s="34">
        <v>45656</v>
      </c>
      <c r="D661" s="5" t="s">
        <v>463</v>
      </c>
      <c r="E661" s="36">
        <v>3000</v>
      </c>
      <c r="F661" s="36">
        <f>E661-G661</f>
        <v>0</v>
      </c>
      <c r="G661" s="36">
        <v>3000</v>
      </c>
      <c r="H661" s="34">
        <v>45657</v>
      </c>
      <c r="I661" s="34"/>
      <c r="J661" s="34">
        <v>45657</v>
      </c>
      <c r="K661" s="5" t="s">
        <v>544</v>
      </c>
      <c r="L661" s="5" t="s">
        <v>298</v>
      </c>
    </row>
    <row r="662" spans="2:26" x14ac:dyDescent="0.25">
      <c r="B662" s="5">
        <v>643</v>
      </c>
      <c r="C662" s="34">
        <v>45628</v>
      </c>
      <c r="D662" s="5" t="s">
        <v>175</v>
      </c>
      <c r="E662" s="36">
        <v>120</v>
      </c>
      <c r="F662" s="36">
        <f>E662-G662</f>
        <v>0</v>
      </c>
      <c r="G662" s="36">
        <v>120</v>
      </c>
      <c r="H662" s="34">
        <v>45628</v>
      </c>
      <c r="I662" s="34"/>
      <c r="J662" s="34">
        <v>45657</v>
      </c>
      <c r="K662" s="5" t="s">
        <v>703</v>
      </c>
      <c r="L662" s="5" t="s">
        <v>298</v>
      </c>
      <c r="M662" s="45"/>
    </row>
    <row r="663" spans="2:26" x14ac:dyDescent="0.25">
      <c r="B663" s="5">
        <v>707</v>
      </c>
      <c r="C663" s="34">
        <v>45646</v>
      </c>
      <c r="D663" s="5" t="s">
        <v>175</v>
      </c>
      <c r="E663" s="36">
        <v>120</v>
      </c>
      <c r="F663" s="36">
        <f>E663-G663</f>
        <v>0</v>
      </c>
      <c r="G663" s="36">
        <v>120</v>
      </c>
      <c r="H663" s="34">
        <v>45646</v>
      </c>
      <c r="I663" s="34"/>
      <c r="J663" s="34">
        <v>45657</v>
      </c>
      <c r="K663" s="5" t="s">
        <v>703</v>
      </c>
      <c r="L663" s="5" t="s">
        <v>298</v>
      </c>
      <c r="M663" s="45"/>
    </row>
    <row r="664" spans="2:26" x14ac:dyDescent="0.25">
      <c r="B664" s="5">
        <v>555</v>
      </c>
      <c r="C664" s="34">
        <v>45594</v>
      </c>
      <c r="D664" s="5" t="s">
        <v>702</v>
      </c>
      <c r="E664" s="36">
        <v>445</v>
      </c>
      <c r="F664" s="36">
        <f>E664-G664</f>
        <v>0</v>
      </c>
      <c r="G664" s="36">
        <v>445</v>
      </c>
      <c r="H664" s="34">
        <v>45611</v>
      </c>
      <c r="I664" s="34"/>
      <c r="J664" s="34">
        <v>45664</v>
      </c>
      <c r="K664" s="5" t="s">
        <v>505</v>
      </c>
      <c r="L664" s="5" t="s">
        <v>298</v>
      </c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2:26" x14ac:dyDescent="0.25">
      <c r="B665" s="5">
        <v>1</v>
      </c>
      <c r="C665" s="34">
        <v>45664</v>
      </c>
      <c r="D665" s="5" t="s">
        <v>510</v>
      </c>
      <c r="E665" s="36">
        <v>3097</v>
      </c>
      <c r="F665" s="36">
        <f>E665-G665</f>
        <v>0</v>
      </c>
      <c r="G665" s="36">
        <v>3097</v>
      </c>
      <c r="H665" s="34">
        <v>45664</v>
      </c>
      <c r="I665" s="34"/>
      <c r="J665" s="34">
        <v>45664</v>
      </c>
      <c r="K665" s="5" t="s">
        <v>701</v>
      </c>
      <c r="L665" s="5" t="s">
        <v>298</v>
      </c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2:26" x14ac:dyDescent="0.25">
      <c r="B666" s="5">
        <v>692</v>
      </c>
      <c r="C666" s="34">
        <v>45644</v>
      </c>
      <c r="D666" s="5" t="s">
        <v>700</v>
      </c>
      <c r="E666" s="36">
        <v>13533</v>
      </c>
      <c r="F666" s="36">
        <f>E666-G666</f>
        <v>0</v>
      </c>
      <c r="G666" s="36">
        <v>13533</v>
      </c>
      <c r="H666" s="34">
        <v>45716</v>
      </c>
      <c r="I666" s="34"/>
      <c r="J666" s="34">
        <v>45665</v>
      </c>
      <c r="K666" s="5" t="s">
        <v>313</v>
      </c>
      <c r="L666" s="5" t="s">
        <v>309</v>
      </c>
      <c r="M666" s="5" t="s">
        <v>308</v>
      </c>
      <c r="N666" s="45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2:26" x14ac:dyDescent="0.25">
      <c r="B667" s="5">
        <v>7</v>
      </c>
      <c r="C667" s="34">
        <v>45665</v>
      </c>
      <c r="D667" s="5" t="s">
        <v>402</v>
      </c>
      <c r="E667" s="36">
        <v>85.2</v>
      </c>
      <c r="F667" s="36">
        <f>E667-G667</f>
        <v>0</v>
      </c>
      <c r="G667" s="36">
        <v>85.2</v>
      </c>
      <c r="H667" s="34">
        <v>45665</v>
      </c>
      <c r="I667" s="34"/>
      <c r="J667" s="34">
        <v>45666</v>
      </c>
      <c r="K667" s="5" t="s">
        <v>699</v>
      </c>
      <c r="L667" s="5" t="s">
        <v>298</v>
      </c>
      <c r="Q667" s="36">
        <v>85.2</v>
      </c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2:26" x14ac:dyDescent="0.25">
      <c r="B668" s="5">
        <v>8</v>
      </c>
      <c r="C668" s="34">
        <v>45665</v>
      </c>
      <c r="D668" s="5" t="s">
        <v>402</v>
      </c>
      <c r="E668" s="36">
        <v>482.6</v>
      </c>
      <c r="F668" s="36">
        <f>E668-G668</f>
        <v>0</v>
      </c>
      <c r="G668" s="36">
        <v>482.6</v>
      </c>
      <c r="H668" s="34">
        <v>45304</v>
      </c>
      <c r="I668" s="34"/>
      <c r="J668" s="34">
        <v>45666</v>
      </c>
      <c r="K668" s="5" t="s">
        <v>313</v>
      </c>
      <c r="L668" s="5" t="s">
        <v>298</v>
      </c>
      <c r="Q668" s="36">
        <v>482.6</v>
      </c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2:26" x14ac:dyDescent="0.25">
      <c r="B669" s="5">
        <v>705</v>
      </c>
      <c r="C669" s="34">
        <v>45645</v>
      </c>
      <c r="D669" s="5" t="s">
        <v>698</v>
      </c>
      <c r="E669" s="36">
        <v>177.82</v>
      </c>
      <c r="F669" s="36">
        <f>E669-G669</f>
        <v>0</v>
      </c>
      <c r="G669" s="36">
        <v>177.82</v>
      </c>
      <c r="H669" s="34">
        <v>45664</v>
      </c>
      <c r="I669" s="34"/>
      <c r="J669" s="34">
        <v>45666</v>
      </c>
      <c r="K669" s="5" t="s">
        <v>313</v>
      </c>
      <c r="L669" s="5" t="s">
        <v>298</v>
      </c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2:26" x14ac:dyDescent="0.25">
      <c r="B670" s="5">
        <v>662</v>
      </c>
      <c r="C670" s="34">
        <v>45631</v>
      </c>
      <c r="D670" s="5" t="s">
        <v>371</v>
      </c>
      <c r="E670" s="98">
        <v>664</v>
      </c>
      <c r="F670" s="98">
        <f>E670-G670</f>
        <v>0</v>
      </c>
      <c r="G670" s="98">
        <v>664</v>
      </c>
      <c r="H670" s="34">
        <v>45638</v>
      </c>
      <c r="I670" s="34"/>
      <c r="J670" s="34">
        <v>45666</v>
      </c>
      <c r="K670" s="5" t="s">
        <v>697</v>
      </c>
      <c r="L670" s="5" t="s">
        <v>298</v>
      </c>
      <c r="Q670" s="44"/>
      <c r="R670" s="98">
        <v>664</v>
      </c>
      <c r="S670" s="44"/>
      <c r="T670" s="44"/>
      <c r="U670" s="44"/>
      <c r="V670" s="44"/>
      <c r="W670" s="44"/>
      <c r="X670" s="44"/>
      <c r="Y670" s="44"/>
      <c r="Z670" s="44"/>
    </row>
    <row r="671" spans="2:26" x14ac:dyDescent="0.25">
      <c r="B671" s="5">
        <v>691</v>
      </c>
      <c r="C671" s="34">
        <v>45643</v>
      </c>
      <c r="D671" s="5" t="s">
        <v>177</v>
      </c>
      <c r="E671" s="36">
        <v>276</v>
      </c>
      <c r="F671" s="36">
        <f>E671-G671</f>
        <v>0</v>
      </c>
      <c r="G671" s="36">
        <v>276</v>
      </c>
      <c r="H671" s="34">
        <v>45667</v>
      </c>
      <c r="I671" s="34"/>
      <c r="J671" s="34">
        <v>45666</v>
      </c>
      <c r="K671" s="5" t="s">
        <v>313</v>
      </c>
      <c r="L671" s="5" t="s">
        <v>298</v>
      </c>
      <c r="Q671" s="36">
        <v>276</v>
      </c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2:26" x14ac:dyDescent="0.25">
      <c r="B672" s="5">
        <v>696</v>
      </c>
      <c r="C672" s="34">
        <v>45644</v>
      </c>
      <c r="D672" s="5" t="s">
        <v>177</v>
      </c>
      <c r="E672" s="36">
        <v>800.56</v>
      </c>
      <c r="F672" s="36">
        <f>E672-G672</f>
        <v>0</v>
      </c>
      <c r="G672" s="36">
        <v>800.56</v>
      </c>
      <c r="H672" s="34">
        <v>45667</v>
      </c>
      <c r="I672" s="34"/>
      <c r="J672" s="34">
        <v>45666</v>
      </c>
      <c r="K672" s="5" t="s">
        <v>313</v>
      </c>
      <c r="L672" s="5" t="s">
        <v>298</v>
      </c>
      <c r="Q672" s="36">
        <v>800.56</v>
      </c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2:34" x14ac:dyDescent="0.25">
      <c r="B673" s="5">
        <v>699</v>
      </c>
      <c r="C673" s="34">
        <v>45644</v>
      </c>
      <c r="D673" s="5" t="s">
        <v>300</v>
      </c>
      <c r="E673" s="36">
        <v>70</v>
      </c>
      <c r="F673" s="36">
        <f>E673-G673</f>
        <v>0</v>
      </c>
      <c r="G673" s="36">
        <v>70</v>
      </c>
      <c r="H673" s="34">
        <v>45667</v>
      </c>
      <c r="I673" s="34"/>
      <c r="J673" s="34">
        <v>45667</v>
      </c>
      <c r="K673" s="5" t="s">
        <v>696</v>
      </c>
      <c r="L673" s="5" t="s">
        <v>298</v>
      </c>
      <c r="N673" s="5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2:34" x14ac:dyDescent="0.25">
      <c r="B674" s="5">
        <v>709</v>
      </c>
      <c r="C674" s="34">
        <v>45649</v>
      </c>
      <c r="D674" s="5" t="s">
        <v>537</v>
      </c>
      <c r="E674" s="36">
        <v>2469.9899999999998</v>
      </c>
      <c r="F674" s="36">
        <f>E674-G674</f>
        <v>0</v>
      </c>
      <c r="G674" s="36">
        <v>2469.9899999999998</v>
      </c>
      <c r="H674" s="34">
        <v>45666</v>
      </c>
      <c r="I674" s="34"/>
      <c r="J674" s="34">
        <v>45667</v>
      </c>
      <c r="K674" s="5" t="s">
        <v>313</v>
      </c>
      <c r="L674" s="5" t="s">
        <v>298</v>
      </c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2:34" x14ac:dyDescent="0.25">
      <c r="B675" s="5">
        <v>10</v>
      </c>
      <c r="C675" s="34">
        <v>45666</v>
      </c>
      <c r="D675" s="5" t="s">
        <v>375</v>
      </c>
      <c r="E675" s="36">
        <v>87.92</v>
      </c>
      <c r="F675" s="36">
        <f>E675-G675</f>
        <v>0</v>
      </c>
      <c r="G675" s="36">
        <v>87.92</v>
      </c>
      <c r="H675" s="34">
        <v>45670</v>
      </c>
      <c r="I675" s="34"/>
      <c r="J675" s="34">
        <v>45667</v>
      </c>
      <c r="K675" s="5" t="s">
        <v>695</v>
      </c>
      <c r="L675" s="5" t="s">
        <v>309</v>
      </c>
      <c r="M675" s="5" t="s">
        <v>308</v>
      </c>
      <c r="N675" s="45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2:34" x14ac:dyDescent="0.25">
      <c r="B676" s="5">
        <v>702</v>
      </c>
      <c r="C676" s="34">
        <v>45645</v>
      </c>
      <c r="D676" s="5" t="s">
        <v>331</v>
      </c>
      <c r="E676" s="36">
        <v>1449.92</v>
      </c>
      <c r="F676" s="36">
        <f>E676-G676</f>
        <v>0</v>
      </c>
      <c r="G676" s="36">
        <v>1449.92</v>
      </c>
      <c r="H676" s="34">
        <v>45664</v>
      </c>
      <c r="I676" s="34"/>
      <c r="J676" s="34">
        <v>45670</v>
      </c>
      <c r="K676" s="5" t="s">
        <v>313</v>
      </c>
      <c r="L676" s="5" t="s">
        <v>303</v>
      </c>
      <c r="N676" s="5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2:34" x14ac:dyDescent="0.25">
      <c r="B677" s="5">
        <v>11</v>
      </c>
      <c r="C677" s="34">
        <v>45667</v>
      </c>
      <c r="D677" s="5" t="s">
        <v>316</v>
      </c>
      <c r="E677" s="36">
        <v>90.86</v>
      </c>
      <c r="F677" s="36">
        <f>E677-G677</f>
        <v>0</v>
      </c>
      <c r="G677" s="36">
        <v>90.86</v>
      </c>
      <c r="H677" s="34">
        <v>45671</v>
      </c>
      <c r="I677" s="34"/>
      <c r="J677" s="34">
        <v>45671</v>
      </c>
      <c r="K677" s="5" t="s">
        <v>382</v>
      </c>
      <c r="L677" s="5" t="s">
        <v>309</v>
      </c>
      <c r="M677" s="5" t="s">
        <v>308</v>
      </c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2:34" x14ac:dyDescent="0.25">
      <c r="B678" s="5">
        <v>23</v>
      </c>
      <c r="C678" s="34">
        <v>45672</v>
      </c>
      <c r="D678" s="5" t="s">
        <v>402</v>
      </c>
      <c r="E678" s="36">
        <v>151.19999999999999</v>
      </c>
      <c r="F678" s="36">
        <f>E678-G678</f>
        <v>0</v>
      </c>
      <c r="G678" s="36">
        <v>151.19999999999999</v>
      </c>
      <c r="H678" s="34">
        <v>45672</v>
      </c>
      <c r="I678" s="34"/>
      <c r="J678" s="34">
        <v>45672</v>
      </c>
      <c r="K678" s="5" t="s">
        <v>694</v>
      </c>
      <c r="L678" s="5" t="s">
        <v>298</v>
      </c>
      <c r="Q678" s="36">
        <v>151.19999999999999</v>
      </c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2:34" x14ac:dyDescent="0.25">
      <c r="B679" s="5">
        <v>25</v>
      </c>
      <c r="C679" s="34">
        <v>45672</v>
      </c>
      <c r="D679" s="5" t="s">
        <v>185</v>
      </c>
      <c r="E679" s="36">
        <v>108.86</v>
      </c>
      <c r="F679" s="36">
        <f>E679-G679</f>
        <v>0</v>
      </c>
      <c r="G679" s="36">
        <v>108.86</v>
      </c>
      <c r="H679" s="34">
        <v>45679</v>
      </c>
      <c r="I679" s="34"/>
      <c r="J679" s="34">
        <v>45673</v>
      </c>
      <c r="K679" s="5" t="s">
        <v>313</v>
      </c>
      <c r="L679" s="5" t="s">
        <v>298</v>
      </c>
      <c r="Q679" s="36">
        <v>108.86</v>
      </c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2:34" x14ac:dyDescent="0.25">
      <c r="B680" s="5">
        <v>12</v>
      </c>
      <c r="C680" s="34">
        <v>45667</v>
      </c>
      <c r="D680" s="5" t="s">
        <v>182</v>
      </c>
      <c r="E680" s="36">
        <v>284</v>
      </c>
      <c r="F680" s="36">
        <f>E680-G680</f>
        <v>0</v>
      </c>
      <c r="G680" s="36">
        <v>284</v>
      </c>
      <c r="H680" s="34">
        <v>45688</v>
      </c>
      <c r="I680" s="34"/>
      <c r="K680" s="5" t="s">
        <v>345</v>
      </c>
      <c r="L680" s="5" t="s">
        <v>298</v>
      </c>
      <c r="N680" s="45" t="s">
        <v>372</v>
      </c>
      <c r="Q680" s="36">
        <v>284</v>
      </c>
      <c r="R680" s="43"/>
      <c r="S680" s="42"/>
      <c r="T680" s="54"/>
      <c r="U680" s="35"/>
      <c r="V680" s="35"/>
      <c r="W680" s="35"/>
      <c r="X680" s="35"/>
      <c r="Y680" s="35"/>
      <c r="Z680" s="35"/>
      <c r="AA680" s="37"/>
      <c r="AB680" s="37"/>
      <c r="AC680" s="37"/>
      <c r="AD680" s="37"/>
      <c r="AE680" s="37"/>
      <c r="AF680" s="37"/>
      <c r="AG680" s="37"/>
      <c r="AH680" s="37"/>
    </row>
    <row r="681" spans="2:34" x14ac:dyDescent="0.25">
      <c r="B681" s="5">
        <v>19</v>
      </c>
      <c r="C681" s="34">
        <v>45671</v>
      </c>
      <c r="D681" s="5" t="s">
        <v>316</v>
      </c>
      <c r="E681" s="36">
        <v>160</v>
      </c>
      <c r="F681" s="36">
        <f>E681-G681</f>
        <v>0</v>
      </c>
      <c r="G681" s="36">
        <v>160</v>
      </c>
      <c r="H681" s="34">
        <v>45680</v>
      </c>
      <c r="I681" s="34"/>
      <c r="J681" s="34">
        <v>45674</v>
      </c>
      <c r="K681" s="5" t="s">
        <v>382</v>
      </c>
      <c r="L681" s="5" t="s">
        <v>298</v>
      </c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2:34" x14ac:dyDescent="0.25">
      <c r="B682" s="5">
        <v>32</v>
      </c>
      <c r="C682" s="34">
        <v>45673</v>
      </c>
      <c r="D682" s="5" t="s">
        <v>307</v>
      </c>
      <c r="E682" s="36">
        <v>6.32</v>
      </c>
      <c r="F682" s="36">
        <f>E682-G682</f>
        <v>0</v>
      </c>
      <c r="G682" s="36">
        <v>6.32</v>
      </c>
      <c r="H682" s="34">
        <v>45679</v>
      </c>
      <c r="I682" s="34"/>
      <c r="J682" s="34">
        <v>45677</v>
      </c>
      <c r="K682" s="5" t="s">
        <v>505</v>
      </c>
      <c r="L682" s="5" t="s">
        <v>298</v>
      </c>
      <c r="Q682" s="44"/>
      <c r="R682" s="36">
        <v>6.32</v>
      </c>
      <c r="S682" s="44"/>
      <c r="T682" s="44"/>
      <c r="U682" s="44"/>
      <c r="V682" s="44"/>
      <c r="W682" s="44"/>
      <c r="X682" s="44"/>
      <c r="Y682" s="44"/>
      <c r="Z682" s="44"/>
    </row>
    <row r="683" spans="2:34" x14ac:dyDescent="0.25">
      <c r="B683" s="5">
        <v>30</v>
      </c>
      <c r="C683" s="34">
        <v>45673</v>
      </c>
      <c r="D683" s="5" t="s">
        <v>307</v>
      </c>
      <c r="E683" s="36">
        <v>7.1</v>
      </c>
      <c r="F683" s="36">
        <f>E683-G683</f>
        <v>0</v>
      </c>
      <c r="G683" s="36">
        <v>7.1</v>
      </c>
      <c r="H683" s="34">
        <v>45677</v>
      </c>
      <c r="I683" s="34"/>
      <c r="J683" s="34">
        <v>45677</v>
      </c>
      <c r="K683" s="5" t="s">
        <v>525</v>
      </c>
      <c r="L683" s="5" t="s">
        <v>298</v>
      </c>
      <c r="Q683" s="44"/>
      <c r="R683" s="36">
        <v>7.1</v>
      </c>
      <c r="S683" s="44"/>
      <c r="T683" s="44"/>
      <c r="U683" s="44"/>
      <c r="V683" s="44"/>
      <c r="W683" s="44"/>
      <c r="X683" s="44"/>
      <c r="Y683" s="44"/>
      <c r="Z683" s="44"/>
    </row>
    <row r="684" spans="2:34" x14ac:dyDescent="0.25">
      <c r="B684" s="5">
        <v>564</v>
      </c>
      <c r="C684" s="34">
        <v>45600</v>
      </c>
      <c r="D684" s="5" t="s">
        <v>23</v>
      </c>
      <c r="E684" s="36">
        <v>7587.84</v>
      </c>
      <c r="F684" s="36">
        <f>E684-G684</f>
        <v>0</v>
      </c>
      <c r="G684" s="36">
        <v>7587.84</v>
      </c>
      <c r="H684" s="34">
        <v>45604</v>
      </c>
      <c r="I684" s="34"/>
      <c r="J684" s="34">
        <v>45677</v>
      </c>
      <c r="K684" s="5" t="s">
        <v>382</v>
      </c>
      <c r="L684" s="5" t="s">
        <v>303</v>
      </c>
      <c r="M684" s="5" t="s">
        <v>308</v>
      </c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2:34" x14ac:dyDescent="0.25">
      <c r="B685" s="5">
        <v>15</v>
      </c>
      <c r="C685" s="34">
        <v>45671</v>
      </c>
      <c r="D685" s="5" t="s">
        <v>23</v>
      </c>
      <c r="E685" s="36">
        <v>126.84</v>
      </c>
      <c r="F685" s="36">
        <f>E685-G685</f>
        <v>0</v>
      </c>
      <c r="G685" s="36">
        <v>126.84</v>
      </c>
      <c r="H685" s="34">
        <v>45679</v>
      </c>
      <c r="I685" s="34"/>
      <c r="J685" s="34">
        <v>45677</v>
      </c>
      <c r="K685" s="5" t="s">
        <v>382</v>
      </c>
      <c r="L685" s="5" t="s">
        <v>303</v>
      </c>
      <c r="M685" s="5" t="s">
        <v>308</v>
      </c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2:34" x14ac:dyDescent="0.25">
      <c r="B686" s="5">
        <v>39</v>
      </c>
      <c r="C686" s="34">
        <v>45674</v>
      </c>
      <c r="D686" s="5" t="s">
        <v>331</v>
      </c>
      <c r="E686" s="36">
        <v>56.61</v>
      </c>
      <c r="F686" s="36">
        <f>E686-G686</f>
        <v>0</v>
      </c>
      <c r="G686" s="36">
        <v>56.61</v>
      </c>
      <c r="H686" s="34">
        <v>45679</v>
      </c>
      <c r="I686" s="34"/>
      <c r="J686" s="34">
        <v>45678</v>
      </c>
      <c r="K686" s="5" t="s">
        <v>354</v>
      </c>
      <c r="L686" s="5" t="s">
        <v>298</v>
      </c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2:34" x14ac:dyDescent="0.25">
      <c r="B687" s="5">
        <v>614</v>
      </c>
      <c r="C687" s="34">
        <v>45615</v>
      </c>
      <c r="D687" s="5" t="s">
        <v>402</v>
      </c>
      <c r="E687" s="36">
        <v>3864</v>
      </c>
      <c r="F687" s="36">
        <f>E687-G687</f>
        <v>0</v>
      </c>
      <c r="G687" s="36">
        <v>3864</v>
      </c>
      <c r="H687" s="34">
        <v>45618</v>
      </c>
      <c r="I687" s="34"/>
      <c r="J687" s="34">
        <v>45678</v>
      </c>
      <c r="K687" s="5" t="s">
        <v>684</v>
      </c>
      <c r="L687" s="5" t="s">
        <v>309</v>
      </c>
      <c r="M687" s="5" t="s">
        <v>308</v>
      </c>
      <c r="Q687" s="36">
        <v>3864</v>
      </c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2:34" x14ac:dyDescent="0.25">
      <c r="B688" s="5">
        <v>45</v>
      </c>
      <c r="C688" s="34">
        <v>45678</v>
      </c>
      <c r="D688" s="5" t="s">
        <v>449</v>
      </c>
      <c r="E688" s="36">
        <v>2760</v>
      </c>
      <c r="F688" s="36">
        <f>E688-G688</f>
        <v>0</v>
      </c>
      <c r="G688" s="36">
        <v>2760</v>
      </c>
      <c r="H688" s="34">
        <v>45681</v>
      </c>
      <c r="I688" s="34"/>
      <c r="J688" s="34">
        <v>45679</v>
      </c>
      <c r="K688" s="5" t="s">
        <v>382</v>
      </c>
      <c r="L688" s="5" t="s">
        <v>309</v>
      </c>
      <c r="M688" s="5" t="s">
        <v>308</v>
      </c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2:26" x14ac:dyDescent="0.25">
      <c r="B689" s="5">
        <v>41</v>
      </c>
      <c r="C689" s="34">
        <v>45677</v>
      </c>
      <c r="D689" s="5" t="s">
        <v>23</v>
      </c>
      <c r="E689" s="36">
        <v>233.49</v>
      </c>
      <c r="F689" s="36">
        <f>E689-G689</f>
        <v>0</v>
      </c>
      <c r="G689" s="36">
        <v>233.49</v>
      </c>
      <c r="H689" s="34">
        <v>45680</v>
      </c>
      <c r="I689" s="34"/>
      <c r="J689" s="34">
        <v>45679</v>
      </c>
      <c r="K689" s="5" t="s">
        <v>693</v>
      </c>
      <c r="L689" s="5" t="s">
        <v>309</v>
      </c>
      <c r="M689" s="5" t="s">
        <v>308</v>
      </c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2:26" x14ac:dyDescent="0.25">
      <c r="B690" s="5">
        <v>649</v>
      </c>
      <c r="C690" s="34">
        <v>45629</v>
      </c>
      <c r="D690" s="5" t="s">
        <v>412</v>
      </c>
      <c r="E690" s="36">
        <v>634.86</v>
      </c>
      <c r="F690" s="36">
        <f>E690-G690</f>
        <v>0</v>
      </c>
      <c r="G690" s="36">
        <v>634.86</v>
      </c>
      <c r="H690" s="34">
        <v>45667</v>
      </c>
      <c r="I690" s="34"/>
      <c r="J690" s="34">
        <v>45679</v>
      </c>
      <c r="K690" s="5" t="s">
        <v>581</v>
      </c>
      <c r="L690" s="5" t="s">
        <v>298</v>
      </c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2:26" x14ac:dyDescent="0.25">
      <c r="B691" s="5">
        <v>3</v>
      </c>
      <c r="C691" s="34">
        <v>45664</v>
      </c>
      <c r="D691" s="5" t="s">
        <v>404</v>
      </c>
      <c r="E691" s="36">
        <v>1500.4</v>
      </c>
      <c r="F691" s="36">
        <f>E691-G691</f>
        <v>0</v>
      </c>
      <c r="G691" s="36">
        <v>1500.4</v>
      </c>
      <c r="H691" s="34">
        <v>45687</v>
      </c>
      <c r="I691" s="34"/>
      <c r="J691" s="34">
        <v>45679</v>
      </c>
      <c r="K691" s="5" t="s">
        <v>581</v>
      </c>
      <c r="L691" s="5" t="s">
        <v>309</v>
      </c>
      <c r="M691" s="5" t="s">
        <v>308</v>
      </c>
      <c r="N691" s="45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2:26" x14ac:dyDescent="0.25">
      <c r="B692" s="5">
        <v>6</v>
      </c>
      <c r="C692" s="34">
        <v>45665</v>
      </c>
      <c r="D692" s="5" t="s">
        <v>436</v>
      </c>
      <c r="E692" s="36">
        <v>100</v>
      </c>
      <c r="F692" s="36">
        <f>E692-G692</f>
        <v>0</v>
      </c>
      <c r="G692" s="36">
        <v>100</v>
      </c>
      <c r="H692" s="34">
        <v>45672</v>
      </c>
      <c r="I692" s="34"/>
      <c r="J692" s="34">
        <v>45680</v>
      </c>
      <c r="K692" s="5" t="s">
        <v>692</v>
      </c>
      <c r="L692" s="5" t="s">
        <v>298</v>
      </c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2:26" x14ac:dyDescent="0.25">
      <c r="B693" s="5">
        <v>37</v>
      </c>
      <c r="C693" s="34">
        <v>45674</v>
      </c>
      <c r="D693" s="5" t="s">
        <v>172</v>
      </c>
      <c r="E693" s="36">
        <v>130</v>
      </c>
      <c r="F693" s="36">
        <f>E693-G693</f>
        <v>0</v>
      </c>
      <c r="G693" s="36">
        <v>130</v>
      </c>
      <c r="H693" s="34">
        <v>45674</v>
      </c>
      <c r="I693" s="34"/>
      <c r="J693" s="34">
        <v>45674</v>
      </c>
      <c r="K693" s="5" t="s">
        <v>396</v>
      </c>
      <c r="L693" s="5" t="s">
        <v>298</v>
      </c>
      <c r="Q693" s="36">
        <v>130</v>
      </c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2:26" x14ac:dyDescent="0.25">
      <c r="B694" s="5">
        <v>28</v>
      </c>
      <c r="C694" s="34">
        <v>45673</v>
      </c>
      <c r="D694" s="5" t="s">
        <v>300</v>
      </c>
      <c r="E694" s="36">
        <v>80</v>
      </c>
      <c r="F694" s="36">
        <f>E694-G694</f>
        <v>0</v>
      </c>
      <c r="G694" s="36">
        <v>80</v>
      </c>
      <c r="H694" s="34">
        <v>45679</v>
      </c>
      <c r="I694" s="34"/>
      <c r="J694" s="34">
        <v>45681</v>
      </c>
      <c r="K694" s="5" t="s">
        <v>313</v>
      </c>
      <c r="L694" s="5" t="s">
        <v>298</v>
      </c>
      <c r="Q694" s="36">
        <v>80</v>
      </c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2:26" x14ac:dyDescent="0.25">
      <c r="B695" s="5">
        <v>29</v>
      </c>
      <c r="C695" s="34">
        <v>45673</v>
      </c>
      <c r="D695" s="5" t="s">
        <v>300</v>
      </c>
      <c r="E695" s="36">
        <v>210</v>
      </c>
      <c r="F695" s="36">
        <f>E695-G695</f>
        <v>0</v>
      </c>
      <c r="G695" s="36">
        <v>210</v>
      </c>
      <c r="H695" s="34">
        <v>45679</v>
      </c>
      <c r="I695" s="34"/>
      <c r="J695" s="34">
        <v>45681</v>
      </c>
      <c r="K695" s="5" t="s">
        <v>313</v>
      </c>
      <c r="L695" s="5" t="s">
        <v>298</v>
      </c>
      <c r="Q695" s="36">
        <v>210</v>
      </c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2:26" x14ac:dyDescent="0.25">
      <c r="B696" s="5">
        <v>52</v>
      </c>
      <c r="C696" s="34">
        <v>45681</v>
      </c>
      <c r="D696" s="5" t="s">
        <v>172</v>
      </c>
      <c r="E696" s="36">
        <v>25</v>
      </c>
      <c r="F696" s="36">
        <f>E696-G696</f>
        <v>0</v>
      </c>
      <c r="G696" s="36">
        <v>25</v>
      </c>
      <c r="H696" s="34">
        <v>45688</v>
      </c>
      <c r="I696" s="34"/>
      <c r="J696" s="34">
        <v>45681</v>
      </c>
      <c r="K696" s="5" t="s">
        <v>345</v>
      </c>
      <c r="L696" s="5" t="s">
        <v>298</v>
      </c>
      <c r="Q696" s="36">
        <v>25</v>
      </c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2:26" x14ac:dyDescent="0.25">
      <c r="B697" s="5">
        <v>31</v>
      </c>
      <c r="C697" s="34">
        <v>45673</v>
      </c>
      <c r="D697" s="5" t="s">
        <v>328</v>
      </c>
      <c r="E697" s="36">
        <v>277.16000000000003</v>
      </c>
      <c r="F697" s="36">
        <f>E697-G697</f>
        <v>0</v>
      </c>
      <c r="G697" s="36">
        <v>277.16000000000003</v>
      </c>
      <c r="H697" s="34">
        <v>45680</v>
      </c>
      <c r="I697" s="34"/>
      <c r="J697" s="34">
        <v>45680</v>
      </c>
      <c r="K697" s="5" t="s">
        <v>313</v>
      </c>
      <c r="L697" s="5" t="s">
        <v>309</v>
      </c>
      <c r="M697" s="5" t="s">
        <v>308</v>
      </c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2:26" x14ac:dyDescent="0.25">
      <c r="B698" s="5">
        <v>42</v>
      </c>
      <c r="C698" s="34">
        <v>45678</v>
      </c>
      <c r="D698" s="5" t="s">
        <v>23</v>
      </c>
      <c r="E698" s="36">
        <v>69.400000000000006</v>
      </c>
      <c r="F698" s="36">
        <f>E698-G698</f>
        <v>0</v>
      </c>
      <c r="G698" s="36">
        <v>69.400000000000006</v>
      </c>
      <c r="H698" s="34">
        <v>45681</v>
      </c>
      <c r="I698" s="34"/>
      <c r="J698" s="34">
        <v>45681</v>
      </c>
      <c r="K698" s="5" t="s">
        <v>313</v>
      </c>
      <c r="L698" s="5" t="s">
        <v>309</v>
      </c>
      <c r="M698" s="5" t="s">
        <v>308</v>
      </c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2:26" x14ac:dyDescent="0.25">
      <c r="B699" s="5">
        <v>34</v>
      </c>
      <c r="C699" s="34">
        <v>45673</v>
      </c>
      <c r="D699" s="5" t="s">
        <v>370</v>
      </c>
      <c r="E699" s="36">
        <v>1108.9100000000001</v>
      </c>
      <c r="F699" s="36">
        <f>E699-G699</f>
        <v>0</v>
      </c>
      <c r="G699" s="36">
        <v>1108.9100000000001</v>
      </c>
      <c r="H699" s="34">
        <v>45680</v>
      </c>
      <c r="I699" s="34"/>
      <c r="J699" s="34">
        <v>45684</v>
      </c>
      <c r="K699" s="5" t="s">
        <v>431</v>
      </c>
      <c r="L699" s="5" t="s">
        <v>298</v>
      </c>
      <c r="Q699" s="36">
        <v>1108.9100000000001</v>
      </c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2:26" x14ac:dyDescent="0.25">
      <c r="B700" s="5">
        <v>20</v>
      </c>
      <c r="C700" s="34">
        <v>45671</v>
      </c>
      <c r="D700" s="5" t="s">
        <v>300</v>
      </c>
      <c r="E700" s="36">
        <v>66.5</v>
      </c>
      <c r="F700" s="36">
        <f>E700-G700</f>
        <v>0</v>
      </c>
      <c r="G700" s="36">
        <v>66.5</v>
      </c>
      <c r="H700" s="34">
        <v>45679</v>
      </c>
      <c r="I700" s="34"/>
      <c r="J700" s="34">
        <v>45685</v>
      </c>
      <c r="K700" s="5" t="s">
        <v>598</v>
      </c>
      <c r="L700" s="5" t="s">
        <v>298</v>
      </c>
      <c r="Q700" s="36">
        <v>66.5</v>
      </c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2:26" x14ac:dyDescent="0.25">
      <c r="B701" s="5">
        <v>652</v>
      </c>
      <c r="C701" s="34">
        <v>45629</v>
      </c>
      <c r="D701" s="5" t="s">
        <v>349</v>
      </c>
      <c r="E701" s="36">
        <v>1827.5</v>
      </c>
      <c r="F701" s="36">
        <f>E701-G701</f>
        <v>0</v>
      </c>
      <c r="G701" s="36">
        <v>1827.5</v>
      </c>
      <c r="H701" s="34">
        <v>45629</v>
      </c>
      <c r="I701" s="34"/>
      <c r="J701" s="34">
        <v>45629</v>
      </c>
      <c r="K701" s="5" t="s">
        <v>396</v>
      </c>
      <c r="L701" s="5" t="s">
        <v>298</v>
      </c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2:26" x14ac:dyDescent="0.25">
      <c r="B702" s="5">
        <v>16</v>
      </c>
      <c r="C702" s="34">
        <v>45671</v>
      </c>
      <c r="D702" s="5">
        <v>1855</v>
      </c>
      <c r="E702" s="36">
        <v>85</v>
      </c>
      <c r="F702" s="36">
        <f>E702-G702</f>
        <v>0</v>
      </c>
      <c r="G702" s="36">
        <v>85</v>
      </c>
      <c r="H702" s="34">
        <v>45674</v>
      </c>
      <c r="I702" s="34"/>
      <c r="J702" s="34">
        <v>45685</v>
      </c>
      <c r="K702" s="5" t="s">
        <v>691</v>
      </c>
      <c r="L702" s="5" t="s">
        <v>298</v>
      </c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2:26" x14ac:dyDescent="0.25">
      <c r="B703" s="5">
        <v>61</v>
      </c>
      <c r="C703" s="34">
        <v>45685</v>
      </c>
      <c r="D703" s="5" t="s">
        <v>491</v>
      </c>
      <c r="E703" s="36">
        <v>6.45</v>
      </c>
      <c r="F703" s="36">
        <f>E703-G703</f>
        <v>0</v>
      </c>
      <c r="G703" s="36">
        <v>6.45</v>
      </c>
      <c r="H703" s="34">
        <v>45688</v>
      </c>
      <c r="I703" s="34"/>
      <c r="J703" s="34">
        <v>45686</v>
      </c>
      <c r="K703" s="5" t="s">
        <v>655</v>
      </c>
      <c r="L703" s="5" t="s">
        <v>298</v>
      </c>
      <c r="Q703" s="36">
        <v>6.45</v>
      </c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2:26" x14ac:dyDescent="0.25">
      <c r="B704" s="5">
        <v>56</v>
      </c>
      <c r="C704" s="34">
        <v>45684</v>
      </c>
      <c r="D704" s="5" t="s">
        <v>307</v>
      </c>
      <c r="E704" s="36">
        <v>559.79999999999995</v>
      </c>
      <c r="F704" s="36">
        <f>E704-G704</f>
        <v>0</v>
      </c>
      <c r="G704" s="36">
        <v>559.79999999999995</v>
      </c>
      <c r="H704" s="34">
        <v>45686</v>
      </c>
      <c r="I704" s="34"/>
      <c r="J704" s="34">
        <v>45685</v>
      </c>
      <c r="K704" s="5" t="s">
        <v>655</v>
      </c>
      <c r="L704" s="5" t="s">
        <v>309</v>
      </c>
      <c r="M704" s="5" t="s">
        <v>308</v>
      </c>
      <c r="N704" s="5"/>
      <c r="Q704" s="44"/>
      <c r="R704" s="36">
        <v>559.79999999999995</v>
      </c>
      <c r="S704" s="44"/>
      <c r="T704" s="44"/>
      <c r="U704" s="44"/>
      <c r="V704" s="44"/>
      <c r="W704" s="44"/>
      <c r="X704" s="44"/>
      <c r="Y704" s="44"/>
      <c r="Z704" s="44"/>
    </row>
    <row r="705" spans="2:26" x14ac:dyDescent="0.25">
      <c r="B705" s="5">
        <v>47</v>
      </c>
      <c r="C705" s="34">
        <v>45679</v>
      </c>
      <c r="D705" s="5" t="s">
        <v>371</v>
      </c>
      <c r="E705" s="36">
        <v>720</v>
      </c>
      <c r="F705" s="36">
        <f>E705-G705</f>
        <v>0</v>
      </c>
      <c r="G705" s="36">
        <v>720</v>
      </c>
      <c r="H705" s="34">
        <v>45686</v>
      </c>
      <c r="I705" s="34"/>
      <c r="J705" s="34">
        <v>45686</v>
      </c>
      <c r="K705" s="5" t="s">
        <v>689</v>
      </c>
      <c r="L705" s="5" t="s">
        <v>298</v>
      </c>
      <c r="Q705" s="44"/>
      <c r="R705" s="36">
        <v>720</v>
      </c>
      <c r="S705" s="44"/>
      <c r="T705" s="44"/>
      <c r="U705" s="44"/>
      <c r="V705" s="44"/>
      <c r="W705" s="44"/>
      <c r="X705" s="44"/>
      <c r="Y705" s="44"/>
      <c r="Z705" s="44"/>
    </row>
    <row r="706" spans="2:26" x14ac:dyDescent="0.25">
      <c r="B706" s="5">
        <v>27</v>
      </c>
      <c r="C706" s="34">
        <v>45673</v>
      </c>
      <c r="D706" s="5" t="s">
        <v>626</v>
      </c>
      <c r="E706" s="36">
        <v>314.33</v>
      </c>
      <c r="F706" s="36">
        <f>E706-G706</f>
        <v>0</v>
      </c>
      <c r="G706" s="36">
        <v>314.33</v>
      </c>
      <c r="H706" s="34">
        <v>45680</v>
      </c>
      <c r="I706" s="34"/>
      <c r="J706" s="34">
        <v>45686</v>
      </c>
      <c r="K706" s="5" t="s">
        <v>690</v>
      </c>
      <c r="L706" s="5" t="s">
        <v>298</v>
      </c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2:26" x14ac:dyDescent="0.25">
      <c r="B707" s="5">
        <v>26</v>
      </c>
      <c r="C707" s="34">
        <v>45673</v>
      </c>
      <c r="D707" s="5" t="s">
        <v>173</v>
      </c>
      <c r="E707" s="36">
        <v>12.35</v>
      </c>
      <c r="F707" s="36">
        <f>E707-G707</f>
        <v>0</v>
      </c>
      <c r="G707" s="36">
        <v>12.35</v>
      </c>
      <c r="H707" s="34">
        <v>45680</v>
      </c>
      <c r="I707" s="34"/>
      <c r="J707" s="34">
        <v>45680</v>
      </c>
      <c r="K707" s="5" t="s">
        <v>689</v>
      </c>
      <c r="L707" s="5" t="s">
        <v>298</v>
      </c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2:26" x14ac:dyDescent="0.25">
      <c r="B708" s="5">
        <v>24</v>
      </c>
      <c r="C708" s="34">
        <v>45306</v>
      </c>
      <c r="D708" s="5" t="s">
        <v>549</v>
      </c>
      <c r="E708" s="36">
        <v>2700</v>
      </c>
      <c r="F708" s="36">
        <f>E708-G708</f>
        <v>0</v>
      </c>
      <c r="G708" s="36">
        <v>2700</v>
      </c>
      <c r="H708" s="34">
        <v>45679</v>
      </c>
      <c r="I708" s="34"/>
      <c r="J708" s="34">
        <v>45679</v>
      </c>
      <c r="K708" s="5" t="s">
        <v>689</v>
      </c>
      <c r="L708" s="5" t="s">
        <v>309</v>
      </c>
      <c r="M708" s="5" t="s">
        <v>308</v>
      </c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2:26" x14ac:dyDescent="0.25">
      <c r="B709" s="5">
        <v>36</v>
      </c>
      <c r="C709" s="34">
        <v>45673</v>
      </c>
      <c r="D709" s="5" t="s">
        <v>314</v>
      </c>
      <c r="E709" s="36">
        <v>459</v>
      </c>
      <c r="F709" s="36">
        <f>E709-G709</f>
        <v>0</v>
      </c>
      <c r="G709" s="36">
        <v>459</v>
      </c>
      <c r="H709" s="34">
        <v>45687</v>
      </c>
      <c r="I709" s="34"/>
      <c r="J709" s="34">
        <v>45687</v>
      </c>
      <c r="K709" s="5" t="s">
        <v>313</v>
      </c>
      <c r="L709" s="5" t="s">
        <v>309</v>
      </c>
      <c r="M709" s="5" t="s">
        <v>308</v>
      </c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2:26" x14ac:dyDescent="0.25">
      <c r="B710" s="5">
        <v>58</v>
      </c>
      <c r="C710" s="34">
        <v>45685</v>
      </c>
      <c r="D710" s="5" t="s">
        <v>300</v>
      </c>
      <c r="E710" s="36">
        <v>52</v>
      </c>
      <c r="F710" s="36">
        <f>E710-G710</f>
        <v>0</v>
      </c>
      <c r="G710" s="36">
        <v>52</v>
      </c>
      <c r="H710" s="34">
        <v>45692</v>
      </c>
      <c r="I710" s="34"/>
      <c r="J710" s="34">
        <v>45688</v>
      </c>
      <c r="K710" s="5" t="s">
        <v>313</v>
      </c>
      <c r="L710" s="5" t="s">
        <v>298</v>
      </c>
      <c r="Q710" s="36">
        <v>52</v>
      </c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2:26" x14ac:dyDescent="0.25">
      <c r="B711" s="5">
        <v>59</v>
      </c>
      <c r="C711" s="34">
        <v>45685</v>
      </c>
      <c r="D711" s="5" t="s">
        <v>300</v>
      </c>
      <c r="E711" s="36">
        <v>80</v>
      </c>
      <c r="F711" s="36">
        <f>E711-G711</f>
        <v>0</v>
      </c>
      <c r="G711" s="36">
        <v>80</v>
      </c>
      <c r="H711" s="34">
        <v>45692</v>
      </c>
      <c r="I711" s="34"/>
      <c r="J711" s="34">
        <v>45692</v>
      </c>
      <c r="K711" s="5" t="s">
        <v>688</v>
      </c>
      <c r="L711" s="5" t="s">
        <v>298</v>
      </c>
      <c r="Q711" s="36">
        <v>80</v>
      </c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2:26" x14ac:dyDescent="0.25">
      <c r="B712" s="5">
        <v>65</v>
      </c>
      <c r="C712" s="34">
        <v>45686</v>
      </c>
      <c r="D712" s="5" t="s">
        <v>23</v>
      </c>
      <c r="E712" s="36">
        <v>122.2</v>
      </c>
      <c r="F712" s="36">
        <f>E712-G712</f>
        <v>0</v>
      </c>
      <c r="G712" s="36">
        <v>122.2</v>
      </c>
      <c r="H712" s="34">
        <v>45693</v>
      </c>
      <c r="I712" s="34"/>
      <c r="J712" s="34">
        <v>45691</v>
      </c>
      <c r="K712" s="5" t="s">
        <v>382</v>
      </c>
      <c r="L712" s="5" t="s">
        <v>309</v>
      </c>
      <c r="M712" s="5" t="s">
        <v>308</v>
      </c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2:26" x14ac:dyDescent="0.25">
      <c r="B713" s="5">
        <v>62</v>
      </c>
      <c r="C713" s="34">
        <v>45686</v>
      </c>
      <c r="D713" s="5" t="s">
        <v>307</v>
      </c>
      <c r="E713" s="36">
        <v>94.61</v>
      </c>
      <c r="F713" s="36">
        <f>E713-G713</f>
        <v>0</v>
      </c>
      <c r="G713" s="36">
        <v>94.61</v>
      </c>
      <c r="H713" s="34">
        <v>45691</v>
      </c>
      <c r="I713" s="34"/>
      <c r="J713" s="34">
        <v>45691</v>
      </c>
      <c r="K713" s="5" t="s">
        <v>505</v>
      </c>
      <c r="L713" s="5" t="s">
        <v>309</v>
      </c>
      <c r="M713" s="5" t="s">
        <v>308</v>
      </c>
      <c r="Q713" s="44"/>
      <c r="R713" s="44"/>
      <c r="S713" s="36">
        <v>94.61</v>
      </c>
      <c r="T713" s="44"/>
      <c r="U713" s="44"/>
      <c r="V713" s="44"/>
      <c r="W713" s="44"/>
      <c r="X713" s="44"/>
      <c r="Y713" s="44"/>
      <c r="Z713" s="44"/>
    </row>
    <row r="714" spans="2:26" x14ac:dyDescent="0.25">
      <c r="B714" s="5">
        <v>2</v>
      </c>
      <c r="C714" s="34">
        <v>45664</v>
      </c>
      <c r="D714" s="5" t="s">
        <v>470</v>
      </c>
      <c r="E714" s="36">
        <v>2200</v>
      </c>
      <c r="F714" s="36">
        <f>E714-G714</f>
        <v>0</v>
      </c>
      <c r="G714" s="36">
        <v>2200</v>
      </c>
      <c r="H714" s="34">
        <v>45688</v>
      </c>
      <c r="I714" s="34"/>
      <c r="J714" s="34">
        <v>45688</v>
      </c>
      <c r="K714" s="5" t="s">
        <v>313</v>
      </c>
      <c r="L714" s="5" t="s">
        <v>309</v>
      </c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2:26" x14ac:dyDescent="0.25">
      <c r="B715" s="5">
        <v>348</v>
      </c>
      <c r="C715" s="34">
        <v>45251</v>
      </c>
      <c r="D715" s="5" t="s">
        <v>687</v>
      </c>
      <c r="E715" s="36">
        <v>103070.62</v>
      </c>
      <c r="F715" s="36">
        <f>E715-G715</f>
        <v>0</v>
      </c>
      <c r="G715" s="36">
        <v>103070.62</v>
      </c>
      <c r="H715" s="34">
        <v>45257</v>
      </c>
      <c r="I715" s="34"/>
      <c r="K715" s="5" t="s">
        <v>686</v>
      </c>
      <c r="L715" s="5" t="s">
        <v>303</v>
      </c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2:26" x14ac:dyDescent="0.25">
      <c r="B716" s="5">
        <v>349</v>
      </c>
      <c r="C716" s="34">
        <v>45251</v>
      </c>
      <c r="D716" s="5" t="s">
        <v>687</v>
      </c>
      <c r="E716" s="36">
        <v>103070.62</v>
      </c>
      <c r="F716" s="36">
        <f>E716-G716</f>
        <v>0</v>
      </c>
      <c r="G716" s="36">
        <v>103070.62</v>
      </c>
      <c r="H716" s="34">
        <v>45273</v>
      </c>
      <c r="I716" s="34"/>
      <c r="K716" s="5" t="s">
        <v>686</v>
      </c>
      <c r="L716" s="5" t="s">
        <v>303</v>
      </c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2:26" x14ac:dyDescent="0.25">
      <c r="B717" s="5">
        <v>350</v>
      </c>
      <c r="C717" s="34">
        <v>45251</v>
      </c>
      <c r="D717" s="5" t="s">
        <v>687</v>
      </c>
      <c r="E717" s="36">
        <v>103070.62</v>
      </c>
      <c r="F717" s="36">
        <f>E717-G717</f>
        <v>0</v>
      </c>
      <c r="G717" s="36">
        <v>103070.62</v>
      </c>
      <c r="H717" s="34">
        <v>45306</v>
      </c>
      <c r="I717" s="34"/>
      <c r="K717" s="5" t="s">
        <v>686</v>
      </c>
      <c r="L717" s="5" t="s">
        <v>303</v>
      </c>
      <c r="Q717" s="44"/>
      <c r="R717" s="44"/>
      <c r="S717" s="44"/>
      <c r="T717" s="44"/>
      <c r="U717" s="44"/>
      <c r="V717" s="44"/>
      <c r="W717" s="40">
        <v>43519.23</v>
      </c>
      <c r="X717" s="44"/>
      <c r="Y717" s="44"/>
      <c r="Z717" s="44"/>
    </row>
    <row r="718" spans="2:26" x14ac:dyDescent="0.25">
      <c r="B718" s="5">
        <v>69</v>
      </c>
      <c r="C718" s="34">
        <v>45688</v>
      </c>
      <c r="D718" s="5" t="s">
        <v>23</v>
      </c>
      <c r="E718" s="36">
        <v>138.36000000000001</v>
      </c>
      <c r="F718" s="36">
        <f>E718-G718</f>
        <v>0</v>
      </c>
      <c r="G718" s="36">
        <v>138.36000000000001</v>
      </c>
      <c r="H718" s="34">
        <v>45693</v>
      </c>
      <c r="I718" s="34"/>
      <c r="J718" s="34">
        <v>45691</v>
      </c>
      <c r="K718" s="5" t="s">
        <v>424</v>
      </c>
      <c r="L718" s="5" t="s">
        <v>309</v>
      </c>
      <c r="M718" s="5" t="s">
        <v>350</v>
      </c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2:26" x14ac:dyDescent="0.25">
      <c r="B719" s="5">
        <v>57</v>
      </c>
      <c r="C719" s="34">
        <v>45684</v>
      </c>
      <c r="D719" s="5" t="s">
        <v>403</v>
      </c>
      <c r="E719" s="36">
        <v>14.8</v>
      </c>
      <c r="F719" s="36">
        <f>E719-G719</f>
        <v>0</v>
      </c>
      <c r="G719" s="36">
        <v>14.8</v>
      </c>
      <c r="H719" s="34">
        <v>45691</v>
      </c>
      <c r="I719" s="34"/>
      <c r="J719" s="34">
        <v>45693</v>
      </c>
      <c r="K719" s="5" t="s">
        <v>655</v>
      </c>
      <c r="L719" s="5" t="s">
        <v>309</v>
      </c>
      <c r="M719" s="5" t="s">
        <v>308</v>
      </c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2:26" x14ac:dyDescent="0.25">
      <c r="B720" s="5">
        <v>71</v>
      </c>
      <c r="C720" s="34">
        <v>45688</v>
      </c>
      <c r="D720" s="5" t="s">
        <v>371</v>
      </c>
      <c r="E720" s="36">
        <v>650</v>
      </c>
      <c r="F720" s="36">
        <f>E720-G720</f>
        <v>0</v>
      </c>
      <c r="G720" s="36">
        <v>650</v>
      </c>
      <c r="H720" s="34">
        <v>45702</v>
      </c>
      <c r="I720" s="34"/>
      <c r="J720" s="34">
        <v>45693</v>
      </c>
      <c r="K720" s="5" t="s">
        <v>616</v>
      </c>
      <c r="L720" s="5" t="s">
        <v>298</v>
      </c>
      <c r="Q720" s="44"/>
      <c r="R720" s="44"/>
      <c r="S720" s="36">
        <v>650</v>
      </c>
      <c r="T720" s="44"/>
      <c r="U720" s="44"/>
      <c r="V720" s="44"/>
      <c r="W720" s="44"/>
      <c r="X720" s="44"/>
      <c r="Y720" s="44"/>
      <c r="Z720" s="44"/>
    </row>
    <row r="721" spans="2:26" x14ac:dyDescent="0.25">
      <c r="B721" s="5">
        <v>75</v>
      </c>
      <c r="C721" s="34">
        <v>46056</v>
      </c>
      <c r="D721" s="5" t="s">
        <v>23</v>
      </c>
      <c r="E721" s="36">
        <v>991.2</v>
      </c>
      <c r="F721" s="36">
        <f>E721-G721</f>
        <v>0</v>
      </c>
      <c r="G721" s="36">
        <v>991.2</v>
      </c>
      <c r="H721" s="34">
        <v>45693</v>
      </c>
      <c r="I721" s="34"/>
      <c r="J721" s="34">
        <v>45693</v>
      </c>
      <c r="K721" s="5" t="s">
        <v>416</v>
      </c>
      <c r="L721" s="5" t="s">
        <v>298</v>
      </c>
      <c r="Q721" s="5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2:26" x14ac:dyDescent="0.25">
      <c r="B722" s="5">
        <v>46</v>
      </c>
      <c r="C722" s="34">
        <v>45678</v>
      </c>
      <c r="D722" s="5" t="s">
        <v>420</v>
      </c>
      <c r="E722" s="36">
        <v>260</v>
      </c>
      <c r="F722" s="36">
        <f>E722-G722</f>
        <v>0</v>
      </c>
      <c r="G722" s="36">
        <v>260</v>
      </c>
      <c r="H722" s="34">
        <v>45685</v>
      </c>
      <c r="I722" s="34"/>
      <c r="J722" s="34">
        <v>45694</v>
      </c>
      <c r="K722" s="5" t="s">
        <v>313</v>
      </c>
      <c r="L722" s="5" t="s">
        <v>309</v>
      </c>
      <c r="M722" s="5" t="s">
        <v>308</v>
      </c>
      <c r="N722" s="53"/>
      <c r="Q722" s="36">
        <v>260</v>
      </c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2:26" x14ac:dyDescent="0.25">
      <c r="B723" s="5">
        <v>91</v>
      </c>
      <c r="C723" s="34">
        <v>45694</v>
      </c>
      <c r="D723" s="5" t="s">
        <v>170</v>
      </c>
      <c r="E723" s="36">
        <v>105</v>
      </c>
      <c r="F723" s="36">
        <f>E723-G723</f>
        <v>0</v>
      </c>
      <c r="G723" s="36">
        <v>105</v>
      </c>
      <c r="H723" s="34">
        <v>45695</v>
      </c>
      <c r="I723" s="34"/>
      <c r="J723" s="34">
        <v>45695</v>
      </c>
      <c r="K723" s="5" t="s">
        <v>685</v>
      </c>
      <c r="L723" s="5" t="s">
        <v>298</v>
      </c>
      <c r="Q723" s="36">
        <v>105</v>
      </c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2:26" x14ac:dyDescent="0.25">
      <c r="B724" s="5">
        <v>664</v>
      </c>
      <c r="C724" s="34">
        <v>45631</v>
      </c>
      <c r="D724" s="5" t="s">
        <v>307</v>
      </c>
      <c r="E724" s="36">
        <v>16.63</v>
      </c>
      <c r="F724" s="36">
        <f>E724-G724</f>
        <v>0</v>
      </c>
      <c r="G724" s="36">
        <v>16.63</v>
      </c>
      <c r="H724" s="34">
        <v>45635</v>
      </c>
      <c r="I724" s="34"/>
      <c r="J724" s="34">
        <v>45694</v>
      </c>
      <c r="K724" s="5" t="s">
        <v>684</v>
      </c>
      <c r="L724" s="5" t="s">
        <v>303</v>
      </c>
      <c r="M724" s="5" t="s">
        <v>308</v>
      </c>
      <c r="N724" s="45"/>
      <c r="Q724" s="44"/>
      <c r="R724" s="44"/>
      <c r="S724" s="36">
        <v>16.63</v>
      </c>
      <c r="T724" s="44"/>
      <c r="U724" s="44"/>
      <c r="V724" s="44"/>
      <c r="W724" s="44"/>
      <c r="X724" s="44"/>
      <c r="Y724" s="44"/>
      <c r="Z724" s="44"/>
    </row>
    <row r="725" spans="2:26" x14ac:dyDescent="0.25">
      <c r="B725" s="5">
        <v>43</v>
      </c>
      <c r="C725" s="34">
        <v>45678</v>
      </c>
      <c r="D725" s="5" t="s">
        <v>399</v>
      </c>
      <c r="E725" s="36">
        <v>3810</v>
      </c>
      <c r="F725" s="36">
        <f>E725-G725</f>
        <v>0</v>
      </c>
      <c r="G725" s="36">
        <v>3810</v>
      </c>
      <c r="H725" s="34">
        <v>45693</v>
      </c>
      <c r="I725" s="34"/>
      <c r="J725" s="34">
        <v>45694</v>
      </c>
      <c r="K725" s="5" t="s">
        <v>382</v>
      </c>
      <c r="L725" s="5" t="s">
        <v>298</v>
      </c>
      <c r="Q725" s="36">
        <v>3810</v>
      </c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2:26" x14ac:dyDescent="0.25">
      <c r="B726" s="5">
        <v>9</v>
      </c>
      <c r="C726" s="34">
        <v>45666</v>
      </c>
      <c r="D726" s="5" t="s">
        <v>450</v>
      </c>
      <c r="E726" s="36">
        <v>4130</v>
      </c>
      <c r="F726" s="36">
        <f>E726-G726</f>
        <v>0</v>
      </c>
      <c r="G726" s="36">
        <v>4130</v>
      </c>
      <c r="H726" s="34">
        <v>45681</v>
      </c>
      <c r="I726" s="34"/>
      <c r="J726" s="34">
        <v>45694</v>
      </c>
      <c r="K726" s="5" t="s">
        <v>313</v>
      </c>
      <c r="L726" s="5" t="s">
        <v>309</v>
      </c>
      <c r="M726" s="5" t="s">
        <v>308</v>
      </c>
      <c r="Q726" s="36">
        <v>4130</v>
      </c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2:26" x14ac:dyDescent="0.25">
      <c r="B727" s="5">
        <v>563</v>
      </c>
      <c r="C727" s="34">
        <v>45596</v>
      </c>
      <c r="D727" s="5" t="s">
        <v>425</v>
      </c>
      <c r="E727" s="36">
        <v>4375.2</v>
      </c>
      <c r="F727" s="36">
        <f>E727-G727</f>
        <v>0</v>
      </c>
      <c r="G727" s="36">
        <v>4375.2</v>
      </c>
      <c r="H727" s="34">
        <v>45639</v>
      </c>
      <c r="I727" s="34"/>
      <c r="J727" s="34">
        <v>45698</v>
      </c>
      <c r="K727" s="5" t="s">
        <v>424</v>
      </c>
      <c r="L727" s="5" t="s">
        <v>298</v>
      </c>
      <c r="N727" s="45" t="s">
        <v>683</v>
      </c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2:26" x14ac:dyDescent="0.25">
      <c r="B728" s="5">
        <v>87</v>
      </c>
      <c r="C728" s="34">
        <v>45693</v>
      </c>
      <c r="D728" s="5" t="s">
        <v>307</v>
      </c>
      <c r="E728" s="36">
        <v>18.489999999999998</v>
      </c>
      <c r="F728" s="36">
        <f>E728-G728</f>
        <v>0</v>
      </c>
      <c r="G728" s="36">
        <v>18.489999999999998</v>
      </c>
      <c r="H728" s="34">
        <v>45695</v>
      </c>
      <c r="I728" s="34"/>
      <c r="J728" s="34">
        <v>45695</v>
      </c>
      <c r="K728" s="5" t="s">
        <v>598</v>
      </c>
      <c r="L728" s="5" t="s">
        <v>309</v>
      </c>
      <c r="M728" s="5" t="s">
        <v>350</v>
      </c>
      <c r="Q728" s="44"/>
      <c r="R728" s="44"/>
      <c r="S728" s="36">
        <v>18.489999999999998</v>
      </c>
      <c r="T728" s="44"/>
      <c r="U728" s="44"/>
      <c r="V728" s="44"/>
      <c r="W728" s="44"/>
      <c r="X728" s="44"/>
      <c r="Y728" s="44"/>
      <c r="Z728" s="44"/>
    </row>
    <row r="729" spans="2:26" x14ac:dyDescent="0.25">
      <c r="B729" s="5">
        <v>78</v>
      </c>
      <c r="C729" s="34">
        <v>45691</v>
      </c>
      <c r="D729" s="5" t="s">
        <v>510</v>
      </c>
      <c r="E729" s="36">
        <v>3040</v>
      </c>
      <c r="F729" s="36">
        <f>E729-G729</f>
        <v>0</v>
      </c>
      <c r="G729" s="36">
        <v>3040</v>
      </c>
      <c r="H729" s="34">
        <v>45691</v>
      </c>
      <c r="I729" s="34"/>
      <c r="J729" s="34">
        <v>45691</v>
      </c>
      <c r="K729" s="5" t="s">
        <v>682</v>
      </c>
      <c r="L729" s="5" t="s">
        <v>298</v>
      </c>
      <c r="N729" s="45" t="s">
        <v>372</v>
      </c>
      <c r="Q729" s="36">
        <v>3040</v>
      </c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2:26" x14ac:dyDescent="0.25">
      <c r="B730" s="5">
        <v>35</v>
      </c>
      <c r="C730" s="34">
        <v>45673</v>
      </c>
      <c r="D730" s="5" t="s">
        <v>617</v>
      </c>
      <c r="E730" s="36">
        <v>1230</v>
      </c>
      <c r="F730" s="36">
        <f>E730-G730</f>
        <v>0</v>
      </c>
      <c r="G730" s="36">
        <v>1230</v>
      </c>
      <c r="H730" s="34">
        <v>45708</v>
      </c>
      <c r="I730" s="34"/>
      <c r="J730" s="34">
        <v>45698</v>
      </c>
      <c r="K730" s="5" t="s">
        <v>382</v>
      </c>
      <c r="L730" s="5" t="s">
        <v>298</v>
      </c>
      <c r="N730" s="97"/>
      <c r="Q730" s="44"/>
      <c r="R730" s="36">
        <v>1230</v>
      </c>
      <c r="S730" s="44"/>
      <c r="T730" s="44"/>
      <c r="U730" s="44"/>
      <c r="V730" s="44"/>
      <c r="W730" s="44"/>
      <c r="X730" s="44"/>
      <c r="Y730" s="44"/>
      <c r="Z730" s="44"/>
    </row>
    <row r="731" spans="2:26" x14ac:dyDescent="0.25">
      <c r="B731" s="5">
        <v>64</v>
      </c>
      <c r="C731" s="34">
        <v>45686</v>
      </c>
      <c r="D731" s="5" t="s">
        <v>328</v>
      </c>
      <c r="E731" s="36">
        <v>251.77</v>
      </c>
      <c r="F731" s="36">
        <f>E731-G731</f>
        <v>0</v>
      </c>
      <c r="G731" s="36">
        <v>251.77</v>
      </c>
      <c r="H731" s="34">
        <v>45692</v>
      </c>
      <c r="I731" s="34"/>
      <c r="J731" s="34">
        <v>45698</v>
      </c>
      <c r="K731" s="5" t="s">
        <v>313</v>
      </c>
      <c r="L731" s="5" t="s">
        <v>309</v>
      </c>
      <c r="M731" s="5" t="s">
        <v>308</v>
      </c>
      <c r="Q731" s="36">
        <v>251.77</v>
      </c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2:26" x14ac:dyDescent="0.25">
      <c r="B732" s="5">
        <v>94</v>
      </c>
      <c r="C732" s="34">
        <v>45698</v>
      </c>
      <c r="D732" s="5" t="s">
        <v>420</v>
      </c>
      <c r="E732" s="36">
        <v>150</v>
      </c>
      <c r="F732" s="36">
        <f>E732-G732</f>
        <v>0</v>
      </c>
      <c r="G732" s="36">
        <v>150</v>
      </c>
      <c r="H732" s="34">
        <v>45700</v>
      </c>
      <c r="I732" s="34"/>
      <c r="J732" s="34">
        <v>45699</v>
      </c>
      <c r="K732" s="5" t="s">
        <v>313</v>
      </c>
      <c r="L732" s="5" t="s">
        <v>298</v>
      </c>
      <c r="Q732" s="36">
        <v>150</v>
      </c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2:26" x14ac:dyDescent="0.25">
      <c r="B733" s="5">
        <v>80</v>
      </c>
      <c r="C733" s="34">
        <v>45692</v>
      </c>
      <c r="D733" s="5" t="s">
        <v>402</v>
      </c>
      <c r="E733" s="36">
        <v>748</v>
      </c>
      <c r="F733" s="36">
        <f>E733-G733</f>
        <v>0</v>
      </c>
      <c r="G733" s="36">
        <v>748</v>
      </c>
      <c r="H733" s="34">
        <v>45706</v>
      </c>
      <c r="I733" s="34"/>
      <c r="J733" s="34">
        <v>45699</v>
      </c>
      <c r="K733" s="5" t="s">
        <v>676</v>
      </c>
      <c r="L733" s="5" t="s">
        <v>309</v>
      </c>
      <c r="M733" s="5" t="s">
        <v>308</v>
      </c>
      <c r="Q733" s="44"/>
      <c r="R733" s="36">
        <v>748</v>
      </c>
      <c r="S733" s="44"/>
      <c r="T733" s="44"/>
      <c r="U733" s="44"/>
      <c r="V733" s="44"/>
      <c r="W733" s="44"/>
      <c r="X733" s="44"/>
      <c r="Y733" s="44"/>
      <c r="Z733" s="44"/>
    </row>
    <row r="734" spans="2:26" x14ac:dyDescent="0.25">
      <c r="B734" s="5">
        <v>21</v>
      </c>
      <c r="C734" s="34">
        <v>45671</v>
      </c>
      <c r="D734" s="5" t="s">
        <v>577</v>
      </c>
      <c r="E734" s="36">
        <v>3264</v>
      </c>
      <c r="F734" s="36">
        <f>E734-G734</f>
        <v>0</v>
      </c>
      <c r="G734" s="36">
        <v>3264</v>
      </c>
      <c r="H734" s="34">
        <v>45701</v>
      </c>
      <c r="I734" s="34"/>
      <c r="J734" s="34">
        <v>45699</v>
      </c>
      <c r="K734" s="5" t="s">
        <v>313</v>
      </c>
      <c r="L734" s="5" t="s">
        <v>309</v>
      </c>
      <c r="M734" s="5" t="s">
        <v>308</v>
      </c>
      <c r="N734" s="97"/>
      <c r="Q734" s="36">
        <v>3264</v>
      </c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2:26" x14ac:dyDescent="0.25">
      <c r="B735" s="5">
        <v>54</v>
      </c>
      <c r="C735" s="34">
        <v>45684</v>
      </c>
      <c r="D735" s="5" t="s">
        <v>681</v>
      </c>
      <c r="E735" s="36">
        <v>16512</v>
      </c>
      <c r="F735" s="36">
        <f>E735-G735</f>
        <v>0</v>
      </c>
      <c r="G735" s="36">
        <v>16512</v>
      </c>
      <c r="H735" s="34">
        <v>45698</v>
      </c>
      <c r="I735" s="34"/>
      <c r="J735" s="34">
        <v>45699</v>
      </c>
      <c r="K735" s="5" t="s">
        <v>509</v>
      </c>
      <c r="L735" s="5" t="s">
        <v>309</v>
      </c>
      <c r="M735" s="5" t="s">
        <v>308</v>
      </c>
      <c r="N735" s="45"/>
      <c r="Q735" s="36">
        <v>16512</v>
      </c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2:26" x14ac:dyDescent="0.25">
      <c r="B736" s="5">
        <v>82</v>
      </c>
      <c r="C736" s="34">
        <v>45692</v>
      </c>
      <c r="D736" s="5" t="s">
        <v>177</v>
      </c>
      <c r="E736" s="36">
        <v>555.67999999999995</v>
      </c>
      <c r="F736" s="36">
        <f>E736-G736</f>
        <v>0</v>
      </c>
      <c r="G736" s="36">
        <v>555.67999999999995</v>
      </c>
      <c r="H736" s="34">
        <v>45702</v>
      </c>
      <c r="I736" s="34"/>
      <c r="J736" s="34">
        <v>45699</v>
      </c>
      <c r="K736" s="5" t="s">
        <v>505</v>
      </c>
      <c r="L736" s="5" t="s">
        <v>303</v>
      </c>
      <c r="N736" s="53"/>
      <c r="Q736" s="36">
        <v>555.67999999999995</v>
      </c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2:26" x14ac:dyDescent="0.25">
      <c r="B737" s="5">
        <v>79</v>
      </c>
      <c r="C737" s="34">
        <v>45691</v>
      </c>
      <c r="D737" s="5" t="s">
        <v>371</v>
      </c>
      <c r="E737" s="36">
        <v>1330</v>
      </c>
      <c r="F737" s="36">
        <f>E737-G737</f>
        <v>0</v>
      </c>
      <c r="G737" s="36">
        <v>1330</v>
      </c>
      <c r="H737" s="34">
        <v>45716</v>
      </c>
      <c r="I737" s="34"/>
      <c r="J737" s="34">
        <v>45700</v>
      </c>
      <c r="K737" s="5" t="s">
        <v>616</v>
      </c>
      <c r="L737" s="5" t="s">
        <v>298</v>
      </c>
      <c r="Q737" s="44"/>
      <c r="R737" s="44"/>
      <c r="S737" s="36">
        <v>1330</v>
      </c>
      <c r="T737" s="44"/>
      <c r="U737" s="44"/>
      <c r="V737" s="44"/>
      <c r="W737" s="44"/>
      <c r="X737" s="44"/>
      <c r="Y737" s="44"/>
      <c r="Z737" s="44"/>
    </row>
    <row r="738" spans="2:26" x14ac:dyDescent="0.25">
      <c r="B738" s="5">
        <v>76</v>
      </c>
      <c r="C738" s="34">
        <v>45691</v>
      </c>
      <c r="D738" s="5" t="s">
        <v>328</v>
      </c>
      <c r="E738" s="36">
        <v>162</v>
      </c>
      <c r="F738" s="36">
        <f>E738-G738</f>
        <v>0</v>
      </c>
      <c r="G738" s="36">
        <v>162</v>
      </c>
      <c r="H738" s="34">
        <v>45693</v>
      </c>
      <c r="I738" s="34"/>
      <c r="J738" s="34">
        <v>45700</v>
      </c>
      <c r="K738" s="5" t="s">
        <v>313</v>
      </c>
      <c r="L738" s="5" t="s">
        <v>298</v>
      </c>
      <c r="Q738" s="36">
        <v>162</v>
      </c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2:26" x14ac:dyDescent="0.25">
      <c r="B739" s="5">
        <v>89</v>
      </c>
      <c r="C739" s="34">
        <v>45694</v>
      </c>
      <c r="D739" s="5" t="s">
        <v>371</v>
      </c>
      <c r="E739" s="36">
        <v>240</v>
      </c>
      <c r="F739" s="36">
        <f>E739-G739</f>
        <v>0</v>
      </c>
      <c r="G739" s="36">
        <v>240</v>
      </c>
      <c r="H739" s="34">
        <v>45702</v>
      </c>
      <c r="I739" s="34"/>
      <c r="J739" s="34">
        <v>45700</v>
      </c>
      <c r="K739" s="5" t="s">
        <v>680</v>
      </c>
      <c r="L739" s="5" t="s">
        <v>298</v>
      </c>
      <c r="Q739" s="44"/>
      <c r="R739" s="44"/>
      <c r="S739" s="36">
        <v>240</v>
      </c>
      <c r="T739" s="44"/>
      <c r="U739" s="44"/>
      <c r="V739" s="44"/>
      <c r="W739" s="44"/>
      <c r="X739" s="44"/>
      <c r="Y739" s="44"/>
      <c r="Z739" s="44"/>
    </row>
    <row r="740" spans="2:26" x14ac:dyDescent="0.25">
      <c r="B740" s="5">
        <v>280</v>
      </c>
      <c r="C740" s="34">
        <v>45419</v>
      </c>
      <c r="D740" s="5" t="s">
        <v>463</v>
      </c>
      <c r="E740" s="36">
        <v>3300</v>
      </c>
      <c r="F740" s="36">
        <f>E740-G740</f>
        <v>0</v>
      </c>
      <c r="G740" s="36">
        <v>3300</v>
      </c>
      <c r="H740" s="34">
        <v>45504</v>
      </c>
      <c r="I740" s="34"/>
      <c r="J740" s="34">
        <v>45700</v>
      </c>
      <c r="K740" s="5" t="s">
        <v>603</v>
      </c>
      <c r="L740" s="5" t="s">
        <v>298</v>
      </c>
      <c r="N740" s="5" t="s">
        <v>679</v>
      </c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2:26" x14ac:dyDescent="0.25">
      <c r="B741" s="5">
        <v>83</v>
      </c>
      <c r="C741" s="34">
        <v>45692</v>
      </c>
      <c r="D741" s="5" t="s">
        <v>463</v>
      </c>
      <c r="E741" s="36">
        <v>14300</v>
      </c>
      <c r="F741" s="36">
        <f>E741-G741</f>
        <v>0</v>
      </c>
      <c r="G741" s="36">
        <v>14300</v>
      </c>
      <c r="H741" s="34">
        <v>45716</v>
      </c>
      <c r="I741" s="34"/>
      <c r="J741" s="34">
        <v>45692</v>
      </c>
      <c r="K741" s="5" t="s">
        <v>342</v>
      </c>
      <c r="L741" s="5" t="s">
        <v>298</v>
      </c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2:26" x14ac:dyDescent="0.25">
      <c r="B742" s="94">
        <v>88</v>
      </c>
      <c r="C742" s="95">
        <v>45694</v>
      </c>
      <c r="D742" s="94" t="s">
        <v>307</v>
      </c>
      <c r="E742" s="96">
        <v>0</v>
      </c>
      <c r="F742" s="96">
        <f>E742-G742</f>
        <v>0</v>
      </c>
      <c r="G742" s="96">
        <v>0</v>
      </c>
      <c r="H742" s="95">
        <v>45695</v>
      </c>
      <c r="I742" s="95"/>
      <c r="J742" s="94" t="s">
        <v>595</v>
      </c>
      <c r="K742" s="94" t="s">
        <v>672</v>
      </c>
      <c r="L742" s="94" t="s">
        <v>452</v>
      </c>
      <c r="M742" s="9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2:26" x14ac:dyDescent="0.25">
      <c r="B743" s="5">
        <v>44</v>
      </c>
      <c r="C743" s="34">
        <v>45678</v>
      </c>
      <c r="D743" s="5" t="s">
        <v>23</v>
      </c>
      <c r="E743" s="36">
        <v>156.94</v>
      </c>
      <c r="F743" s="36">
        <f>E743-G743</f>
        <v>0</v>
      </c>
      <c r="G743" s="36">
        <v>156.94</v>
      </c>
      <c r="H743" s="34">
        <v>45684</v>
      </c>
      <c r="I743" s="34"/>
      <c r="J743" s="34">
        <v>45701</v>
      </c>
      <c r="K743" s="5" t="s">
        <v>598</v>
      </c>
      <c r="L743" s="5" t="s">
        <v>303</v>
      </c>
      <c r="M743" s="5" t="s">
        <v>308</v>
      </c>
      <c r="N743" s="53" t="s">
        <v>678</v>
      </c>
      <c r="Q743" s="36">
        <v>156.94</v>
      </c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2:26" x14ac:dyDescent="0.25">
      <c r="B744" s="5">
        <v>98</v>
      </c>
      <c r="C744" s="34">
        <v>45701</v>
      </c>
      <c r="D744" s="5" t="s">
        <v>491</v>
      </c>
      <c r="E744" s="33">
        <v>3.3</v>
      </c>
      <c r="F744" s="33">
        <f>E744-G744</f>
        <v>0</v>
      </c>
      <c r="G744" s="33">
        <v>3.3</v>
      </c>
      <c r="H744" s="34">
        <v>45702</v>
      </c>
      <c r="I744" s="34"/>
      <c r="J744" s="34">
        <v>45702</v>
      </c>
      <c r="K744" s="5" t="s">
        <v>667</v>
      </c>
      <c r="L744" s="5" t="s">
        <v>298</v>
      </c>
      <c r="Q744" s="33">
        <v>3.3</v>
      </c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2:26" x14ac:dyDescent="0.25">
      <c r="B745" s="5">
        <v>99</v>
      </c>
      <c r="C745" s="34">
        <v>45701</v>
      </c>
      <c r="D745" s="5" t="s">
        <v>491</v>
      </c>
      <c r="E745" s="33">
        <v>33.5</v>
      </c>
      <c r="F745" s="33">
        <f>E745-G745</f>
        <v>0</v>
      </c>
      <c r="G745" s="33">
        <v>33.5</v>
      </c>
      <c r="H745" s="34">
        <v>45702</v>
      </c>
      <c r="I745" s="34"/>
      <c r="J745" s="34">
        <v>45702</v>
      </c>
      <c r="K745" s="5" t="s">
        <v>543</v>
      </c>
      <c r="L745" s="5" t="s">
        <v>298</v>
      </c>
      <c r="Q745" s="33">
        <v>33.5</v>
      </c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2:26" x14ac:dyDescent="0.25">
      <c r="B746" s="5">
        <v>86</v>
      </c>
      <c r="C746" s="34">
        <v>45693</v>
      </c>
      <c r="D746" s="5" t="s">
        <v>371</v>
      </c>
      <c r="E746" s="33">
        <v>330</v>
      </c>
      <c r="F746" s="33">
        <f>E746-G746</f>
        <v>0</v>
      </c>
      <c r="G746" s="33">
        <v>330</v>
      </c>
      <c r="H746" s="93">
        <v>45716</v>
      </c>
      <c r="I746" s="93"/>
      <c r="J746" s="34">
        <v>45702</v>
      </c>
      <c r="K746" s="5" t="s">
        <v>677</v>
      </c>
      <c r="L746" s="5" t="s">
        <v>298</v>
      </c>
      <c r="Q746" s="44"/>
      <c r="R746" s="44"/>
      <c r="S746" s="33">
        <v>330</v>
      </c>
      <c r="T746" s="44"/>
      <c r="U746" s="44"/>
      <c r="V746" s="44"/>
      <c r="W746" s="44"/>
      <c r="X746" s="44"/>
      <c r="Y746" s="44"/>
      <c r="Z746" s="44"/>
    </row>
    <row r="747" spans="2:26" x14ac:dyDescent="0.25">
      <c r="B747" s="5">
        <v>92</v>
      </c>
      <c r="C747" s="34">
        <v>45695</v>
      </c>
      <c r="D747" s="5" t="s">
        <v>300</v>
      </c>
      <c r="E747" s="36">
        <v>143</v>
      </c>
      <c r="F747" s="36">
        <f>E747-G747</f>
        <v>0</v>
      </c>
      <c r="G747" s="36">
        <v>143</v>
      </c>
      <c r="H747" s="34">
        <v>45702</v>
      </c>
      <c r="I747" s="34"/>
      <c r="J747" s="34">
        <v>45702</v>
      </c>
      <c r="K747" s="5" t="s">
        <v>655</v>
      </c>
      <c r="L747" s="5" t="s">
        <v>298</v>
      </c>
      <c r="Q747" s="44"/>
      <c r="R747" s="36">
        <v>143</v>
      </c>
      <c r="S747" s="44"/>
      <c r="T747" s="44"/>
      <c r="U747" s="44"/>
      <c r="V747" s="44"/>
      <c r="W747" s="44"/>
      <c r="X747" s="44"/>
      <c r="Y747" s="44"/>
      <c r="Z747" s="44"/>
    </row>
    <row r="748" spans="2:26" x14ac:dyDescent="0.25">
      <c r="B748" s="5">
        <v>93</v>
      </c>
      <c r="C748" s="34">
        <v>45695</v>
      </c>
      <c r="D748" s="5" t="s">
        <v>300</v>
      </c>
      <c r="E748" s="36">
        <v>16</v>
      </c>
      <c r="F748" s="36">
        <f>E748-G748</f>
        <v>0</v>
      </c>
      <c r="G748" s="36">
        <v>16</v>
      </c>
      <c r="H748" s="34">
        <v>45702</v>
      </c>
      <c r="I748" s="34"/>
      <c r="J748" s="34">
        <v>45702</v>
      </c>
      <c r="K748" s="5" t="s">
        <v>598</v>
      </c>
      <c r="L748" s="5" t="s">
        <v>298</v>
      </c>
      <c r="Q748" s="44"/>
      <c r="R748" s="36">
        <v>16</v>
      </c>
      <c r="S748" s="44"/>
      <c r="T748" s="44"/>
      <c r="U748" s="44"/>
      <c r="V748" s="44"/>
      <c r="W748" s="44"/>
      <c r="X748" s="44"/>
      <c r="Y748" s="44"/>
      <c r="Z748" s="44"/>
    </row>
    <row r="749" spans="2:26" x14ac:dyDescent="0.25">
      <c r="B749" s="5">
        <v>97</v>
      </c>
      <c r="C749" s="34">
        <v>45701</v>
      </c>
      <c r="D749" s="5" t="s">
        <v>331</v>
      </c>
      <c r="E749" s="36">
        <v>194.04</v>
      </c>
      <c r="F749" s="36">
        <f>E749-G749</f>
        <v>0</v>
      </c>
      <c r="G749" s="36">
        <v>194.04</v>
      </c>
      <c r="H749" s="34">
        <v>45708</v>
      </c>
      <c r="I749" s="34"/>
      <c r="J749" s="34">
        <v>45705</v>
      </c>
      <c r="K749" s="5" t="s">
        <v>571</v>
      </c>
      <c r="L749" s="5" t="s">
        <v>298</v>
      </c>
      <c r="Q749" s="36">
        <v>194.04</v>
      </c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2:26" x14ac:dyDescent="0.25">
      <c r="B750" s="5">
        <v>81</v>
      </c>
      <c r="C750" s="34">
        <v>45692</v>
      </c>
      <c r="D750" s="5" t="s">
        <v>300</v>
      </c>
      <c r="E750" s="36">
        <v>143</v>
      </c>
      <c r="F750" s="36">
        <f>E750-G750</f>
        <v>0</v>
      </c>
      <c r="G750" s="36">
        <v>143</v>
      </c>
      <c r="H750" s="34">
        <v>45716</v>
      </c>
      <c r="I750" s="34"/>
      <c r="J750" s="34">
        <v>45702</v>
      </c>
      <c r="K750" s="5" t="s">
        <v>676</v>
      </c>
      <c r="L750" s="5" t="s">
        <v>298</v>
      </c>
      <c r="Q750" s="44"/>
      <c r="R750" s="36">
        <v>143</v>
      </c>
      <c r="S750" s="44"/>
      <c r="T750" s="44"/>
      <c r="U750" s="44"/>
      <c r="V750" s="44"/>
      <c r="W750" s="44"/>
      <c r="X750" s="44"/>
      <c r="Y750" s="44"/>
      <c r="Z750" s="44"/>
    </row>
    <row r="751" spans="2:26" x14ac:dyDescent="0.25">
      <c r="B751" s="5">
        <v>66</v>
      </c>
      <c r="C751" s="34">
        <v>45687</v>
      </c>
      <c r="D751" s="5" t="s">
        <v>628</v>
      </c>
      <c r="E751" s="36">
        <v>4297</v>
      </c>
      <c r="F751" s="36">
        <f>E751-G751</f>
        <v>0</v>
      </c>
      <c r="G751" s="36">
        <v>4297</v>
      </c>
      <c r="H751" s="34">
        <v>45701</v>
      </c>
      <c r="I751" s="34"/>
      <c r="J751" s="34">
        <v>45705</v>
      </c>
      <c r="K751" s="5" t="s">
        <v>313</v>
      </c>
      <c r="L751" s="5" t="s">
        <v>309</v>
      </c>
      <c r="M751" s="5" t="s">
        <v>350</v>
      </c>
      <c r="N751" s="45" t="s">
        <v>675</v>
      </c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2:26" x14ac:dyDescent="0.25">
      <c r="B752" s="5">
        <v>17</v>
      </c>
      <c r="C752" s="34">
        <v>45671</v>
      </c>
      <c r="D752" s="5" t="s">
        <v>164</v>
      </c>
      <c r="E752" s="36">
        <v>2700</v>
      </c>
      <c r="F752" s="36">
        <f>E752-G752</f>
        <v>0</v>
      </c>
      <c r="G752" s="36">
        <v>2700</v>
      </c>
      <c r="H752" s="34">
        <v>45699</v>
      </c>
      <c r="I752" s="34"/>
      <c r="J752" s="34">
        <v>45705</v>
      </c>
      <c r="K752" s="5" t="s">
        <v>313</v>
      </c>
      <c r="L752" s="5" t="s">
        <v>309</v>
      </c>
      <c r="M752" s="5" t="s">
        <v>308</v>
      </c>
      <c r="N752" s="45" t="s">
        <v>674</v>
      </c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2:26" x14ac:dyDescent="0.25">
      <c r="B753" s="5">
        <v>70</v>
      </c>
      <c r="C753" s="34">
        <v>45688</v>
      </c>
      <c r="D753" s="5" t="s">
        <v>175</v>
      </c>
      <c r="E753" s="36">
        <v>120</v>
      </c>
      <c r="F753" s="36">
        <f>E753-G753</f>
        <v>0</v>
      </c>
      <c r="G753" s="36">
        <v>120</v>
      </c>
      <c r="H753" s="34">
        <v>45688</v>
      </c>
      <c r="I753" s="34"/>
      <c r="J753" s="34">
        <v>45688</v>
      </c>
      <c r="K753" s="5" t="s">
        <v>673</v>
      </c>
      <c r="L753" s="5" t="s">
        <v>298</v>
      </c>
      <c r="N753" s="45" t="s">
        <v>372</v>
      </c>
      <c r="Q753" s="36">
        <v>120</v>
      </c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2:26" x14ac:dyDescent="0.25">
      <c r="B754" s="5">
        <v>104</v>
      </c>
      <c r="C754" s="34">
        <v>45702</v>
      </c>
      <c r="D754" s="5" t="s">
        <v>169</v>
      </c>
      <c r="E754" s="36">
        <v>920</v>
      </c>
      <c r="F754" s="36">
        <f>E754-G754</f>
        <v>0</v>
      </c>
      <c r="G754" s="36">
        <v>920</v>
      </c>
      <c r="H754" s="34">
        <v>45702</v>
      </c>
      <c r="I754" s="34"/>
      <c r="J754" s="34">
        <v>45702</v>
      </c>
      <c r="K754" s="5" t="s">
        <v>396</v>
      </c>
      <c r="L754" s="5" t="s">
        <v>298</v>
      </c>
      <c r="N754" s="45" t="s">
        <v>372</v>
      </c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2:26" x14ac:dyDescent="0.25">
      <c r="B755" s="5">
        <v>690</v>
      </c>
      <c r="C755" s="34">
        <v>45643</v>
      </c>
      <c r="D755" s="5" t="s">
        <v>169</v>
      </c>
      <c r="E755" s="36">
        <v>800</v>
      </c>
      <c r="F755" s="36">
        <f>E755-G755</f>
        <v>0</v>
      </c>
      <c r="G755" s="36">
        <v>800</v>
      </c>
      <c r="H755" s="34">
        <v>45657</v>
      </c>
      <c r="I755" s="34"/>
      <c r="J755" s="34">
        <v>45702</v>
      </c>
      <c r="K755" s="5" t="s">
        <v>396</v>
      </c>
      <c r="L755" s="5" t="s">
        <v>298</v>
      </c>
      <c r="N755" s="45" t="s">
        <v>372</v>
      </c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2:26" x14ac:dyDescent="0.25">
      <c r="B756" s="5">
        <v>576</v>
      </c>
      <c r="C756" s="34">
        <v>45602</v>
      </c>
      <c r="D756" s="5" t="s">
        <v>169</v>
      </c>
      <c r="E756" s="36">
        <v>200</v>
      </c>
      <c r="F756" s="36">
        <f>E756-G756</f>
        <v>0</v>
      </c>
      <c r="G756" s="36">
        <v>200</v>
      </c>
      <c r="H756" s="34">
        <v>45626</v>
      </c>
      <c r="I756" s="34"/>
      <c r="J756" s="34">
        <v>45702</v>
      </c>
      <c r="K756" s="5" t="s">
        <v>396</v>
      </c>
      <c r="L756" s="5" t="s">
        <v>298</v>
      </c>
      <c r="N756" s="45" t="s">
        <v>372</v>
      </c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2:26" x14ac:dyDescent="0.25">
      <c r="B757" s="5">
        <v>101</v>
      </c>
      <c r="C757" s="34">
        <v>45701</v>
      </c>
      <c r="D757" s="5" t="s">
        <v>307</v>
      </c>
      <c r="E757" s="36">
        <v>33.39</v>
      </c>
      <c r="F757" s="36">
        <f>E757-G757</f>
        <v>0</v>
      </c>
      <c r="G757" s="36">
        <v>33.39</v>
      </c>
      <c r="H757" s="34">
        <v>45702</v>
      </c>
      <c r="I757" s="34"/>
      <c r="J757" s="34">
        <v>45702</v>
      </c>
      <c r="K757" s="5" t="s">
        <v>672</v>
      </c>
      <c r="L757" s="5" t="s">
        <v>298</v>
      </c>
      <c r="Q757" s="44"/>
      <c r="R757" s="44"/>
      <c r="S757" s="36">
        <v>33.39</v>
      </c>
      <c r="T757" s="44"/>
      <c r="U757" s="44"/>
      <c r="V757" s="44"/>
      <c r="W757" s="44"/>
      <c r="X757" s="44"/>
      <c r="Y757" s="44"/>
      <c r="Z757" s="44"/>
    </row>
    <row r="758" spans="2:26" x14ac:dyDescent="0.25">
      <c r="B758" s="5">
        <v>106</v>
      </c>
      <c r="C758" s="34">
        <v>45705</v>
      </c>
      <c r="D758" s="5" t="s">
        <v>341</v>
      </c>
      <c r="E758" s="36">
        <v>167</v>
      </c>
      <c r="F758" s="36">
        <f>E758-G758</f>
        <v>0</v>
      </c>
      <c r="G758" s="36">
        <v>167</v>
      </c>
      <c r="H758" s="34">
        <v>45713</v>
      </c>
      <c r="I758" s="34"/>
      <c r="J758" s="34">
        <v>45709</v>
      </c>
      <c r="K758" s="5" t="s">
        <v>667</v>
      </c>
      <c r="L758" s="5" t="s">
        <v>298</v>
      </c>
      <c r="Q758" s="36">
        <v>167</v>
      </c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2:26" x14ac:dyDescent="0.25">
      <c r="B759" s="5">
        <v>53</v>
      </c>
      <c r="C759" s="34">
        <v>45681</v>
      </c>
      <c r="D759" s="5" t="s">
        <v>671</v>
      </c>
      <c r="E759" s="36">
        <v>4009.14</v>
      </c>
      <c r="F759" s="36">
        <f>E759-G759</f>
        <v>0</v>
      </c>
      <c r="G759" s="36">
        <v>4009.14</v>
      </c>
      <c r="H759" s="34">
        <v>45705</v>
      </c>
      <c r="I759" s="34"/>
      <c r="J759" s="34">
        <v>45709</v>
      </c>
      <c r="K759" s="5" t="s">
        <v>670</v>
      </c>
      <c r="L759" s="5" t="s">
        <v>309</v>
      </c>
      <c r="M759" s="5" t="s">
        <v>308</v>
      </c>
      <c r="N759" s="53" t="s">
        <v>669</v>
      </c>
      <c r="Q759" s="36">
        <v>4009.14</v>
      </c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2:26" x14ac:dyDescent="0.25">
      <c r="B760" s="5">
        <v>85</v>
      </c>
      <c r="C760" s="34">
        <v>45693</v>
      </c>
      <c r="D760" s="5" t="s">
        <v>371</v>
      </c>
      <c r="E760" s="36">
        <v>3325</v>
      </c>
      <c r="F760" s="36">
        <f>E760-G760</f>
        <v>0</v>
      </c>
      <c r="G760" s="36">
        <v>3325</v>
      </c>
      <c r="H760" s="34">
        <v>45714</v>
      </c>
      <c r="I760" s="34"/>
      <c r="J760" s="34">
        <v>45709</v>
      </c>
      <c r="K760" s="5" t="s">
        <v>616</v>
      </c>
      <c r="L760" s="5" t="s">
        <v>298</v>
      </c>
      <c r="Q760" s="44"/>
      <c r="R760" s="44"/>
      <c r="S760" s="36">
        <v>3325</v>
      </c>
      <c r="T760" s="44"/>
      <c r="U760" s="44"/>
      <c r="V760" s="44"/>
      <c r="W760" s="44"/>
      <c r="X760" s="44"/>
      <c r="Y760" s="44"/>
      <c r="Z760" s="44"/>
    </row>
    <row r="761" spans="2:26" x14ac:dyDescent="0.25">
      <c r="B761" s="5">
        <v>102</v>
      </c>
      <c r="C761" s="34">
        <v>45701</v>
      </c>
      <c r="D761" s="5" t="s">
        <v>668</v>
      </c>
      <c r="E761" s="36">
        <v>67.260000000000005</v>
      </c>
      <c r="F761" s="36">
        <f>E761-G761</f>
        <v>0</v>
      </c>
      <c r="G761" s="36">
        <v>67.260000000000005</v>
      </c>
      <c r="H761" s="34">
        <v>45708</v>
      </c>
      <c r="I761" s="34"/>
      <c r="J761" s="34">
        <v>45709</v>
      </c>
      <c r="K761" s="5" t="s">
        <v>667</v>
      </c>
      <c r="L761" s="5" t="s">
        <v>298</v>
      </c>
      <c r="Q761" s="36">
        <v>67.260000000000005</v>
      </c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2:26" x14ac:dyDescent="0.25">
      <c r="B762" s="5">
        <v>103</v>
      </c>
      <c r="C762" s="34">
        <v>45701</v>
      </c>
      <c r="D762" s="5" t="s">
        <v>668</v>
      </c>
      <c r="E762" s="36">
        <v>1276.9000000000001</v>
      </c>
      <c r="F762" s="36">
        <f>E762-G762</f>
        <v>0</v>
      </c>
      <c r="G762" s="36">
        <v>1276.9000000000001</v>
      </c>
      <c r="H762" s="34">
        <v>45708</v>
      </c>
      <c r="I762" s="34"/>
      <c r="J762" s="34">
        <v>45709</v>
      </c>
      <c r="K762" s="5" t="s">
        <v>571</v>
      </c>
      <c r="L762" s="5" t="s">
        <v>298</v>
      </c>
      <c r="Q762" s="36">
        <v>1276.9000000000001</v>
      </c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2:26" x14ac:dyDescent="0.25">
      <c r="B763" s="5">
        <v>115</v>
      </c>
      <c r="C763" s="34">
        <v>45707</v>
      </c>
      <c r="D763" s="5" t="s">
        <v>395</v>
      </c>
      <c r="E763" s="36">
        <v>951.5</v>
      </c>
      <c r="F763" s="36">
        <f>E763-G763</f>
        <v>0</v>
      </c>
      <c r="G763" s="36">
        <v>951.5</v>
      </c>
      <c r="H763" s="34">
        <v>45707</v>
      </c>
      <c r="I763" s="34"/>
      <c r="J763" s="34">
        <v>45707</v>
      </c>
      <c r="K763" s="5" t="s">
        <v>396</v>
      </c>
      <c r="L763" s="5" t="s">
        <v>298</v>
      </c>
      <c r="Q763" s="36">
        <v>951.5</v>
      </c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2:26" x14ac:dyDescent="0.25">
      <c r="B764" s="5">
        <v>119</v>
      </c>
      <c r="C764" s="34">
        <v>45708</v>
      </c>
      <c r="D764" s="5" t="s">
        <v>307</v>
      </c>
      <c r="E764" s="36">
        <v>10</v>
      </c>
      <c r="F764" s="36">
        <f>E764-G764</f>
        <v>0</v>
      </c>
      <c r="G764" s="36">
        <v>10</v>
      </c>
      <c r="H764" s="34">
        <v>45709</v>
      </c>
      <c r="I764" s="34"/>
      <c r="J764" s="34">
        <v>45712</v>
      </c>
      <c r="K764" s="5" t="s">
        <v>667</v>
      </c>
      <c r="L764" s="5" t="s">
        <v>303</v>
      </c>
      <c r="M764" s="5" t="s">
        <v>308</v>
      </c>
      <c r="N764" s="5"/>
      <c r="Q764" s="44"/>
      <c r="R764" s="44"/>
      <c r="S764" s="36">
        <v>10</v>
      </c>
      <c r="T764" s="44"/>
      <c r="U764" s="44"/>
      <c r="V764" s="44"/>
      <c r="W764" s="44"/>
      <c r="X764" s="44"/>
      <c r="Y764" s="44"/>
      <c r="Z764" s="44"/>
    </row>
    <row r="765" spans="2:26" x14ac:dyDescent="0.25">
      <c r="B765" s="5">
        <v>112</v>
      </c>
      <c r="C765" s="34">
        <v>45706</v>
      </c>
      <c r="D765" s="5" t="s">
        <v>321</v>
      </c>
      <c r="E765" s="36">
        <v>84.98</v>
      </c>
      <c r="F765" s="36">
        <f>E765-G765</f>
        <v>0</v>
      </c>
      <c r="G765" s="36">
        <v>84.98</v>
      </c>
      <c r="H765" s="34">
        <v>45712</v>
      </c>
      <c r="I765" s="34"/>
      <c r="J765" s="34">
        <v>45712</v>
      </c>
      <c r="K765" s="5" t="s">
        <v>382</v>
      </c>
      <c r="L765" s="5" t="s">
        <v>309</v>
      </c>
      <c r="M765" s="5" t="s">
        <v>350</v>
      </c>
      <c r="Q765" s="5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2:26" x14ac:dyDescent="0.25">
      <c r="B766" s="5">
        <v>120</v>
      </c>
      <c r="C766" s="34">
        <v>45708</v>
      </c>
      <c r="D766" s="5" t="s">
        <v>395</v>
      </c>
      <c r="E766" s="36">
        <v>973</v>
      </c>
      <c r="F766" s="36">
        <f>E766-G766</f>
        <v>0</v>
      </c>
      <c r="G766" s="36">
        <v>973</v>
      </c>
      <c r="H766" s="34">
        <v>45723</v>
      </c>
      <c r="I766" s="34"/>
      <c r="J766" s="34">
        <v>45715</v>
      </c>
      <c r="K766" s="5" t="s">
        <v>396</v>
      </c>
      <c r="L766" s="5" t="s">
        <v>298</v>
      </c>
      <c r="Q766" s="36">
        <v>973</v>
      </c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2:26" x14ac:dyDescent="0.25">
      <c r="B767" s="5">
        <v>116</v>
      </c>
      <c r="C767" s="34">
        <v>45708</v>
      </c>
      <c r="D767" s="5" t="s">
        <v>300</v>
      </c>
      <c r="E767" s="36">
        <v>25</v>
      </c>
      <c r="F767" s="36">
        <f>E767-G767</f>
        <v>0</v>
      </c>
      <c r="G767" s="36">
        <v>25</v>
      </c>
      <c r="H767" s="34">
        <v>45715</v>
      </c>
      <c r="I767" s="34"/>
      <c r="J767" s="34">
        <v>45714</v>
      </c>
      <c r="K767" s="5" t="s">
        <v>666</v>
      </c>
      <c r="L767" s="5" t="s">
        <v>298</v>
      </c>
      <c r="Q767" s="44"/>
      <c r="R767" s="36">
        <v>25</v>
      </c>
      <c r="S767" s="44"/>
      <c r="T767" s="44"/>
      <c r="U767" s="44"/>
      <c r="V767" s="44"/>
      <c r="W767" s="44"/>
      <c r="X767" s="44"/>
      <c r="Y767" s="44"/>
      <c r="Z767" s="44"/>
    </row>
    <row r="768" spans="2:26" x14ac:dyDescent="0.25">
      <c r="B768" s="5">
        <v>538</v>
      </c>
      <c r="C768" s="34">
        <v>45583</v>
      </c>
      <c r="D768" s="5" t="s">
        <v>665</v>
      </c>
      <c r="E768" s="36">
        <v>31097.200000000001</v>
      </c>
      <c r="F768" s="36">
        <f>E768-G768</f>
        <v>0</v>
      </c>
      <c r="G768" s="36">
        <v>31097.200000000001</v>
      </c>
      <c r="H768" s="34">
        <v>45688</v>
      </c>
      <c r="I768" s="34"/>
      <c r="J768" s="34">
        <v>45714</v>
      </c>
      <c r="K768" s="5" t="s">
        <v>616</v>
      </c>
      <c r="L768" s="5" t="s">
        <v>309</v>
      </c>
      <c r="M768" s="5" t="s">
        <v>308</v>
      </c>
      <c r="N768" s="5" t="s">
        <v>664</v>
      </c>
      <c r="Q768" s="92">
        <v>21768.04</v>
      </c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2:26" x14ac:dyDescent="0.25">
      <c r="B769" s="5">
        <v>13</v>
      </c>
      <c r="C769" s="34">
        <v>45667</v>
      </c>
      <c r="D769" s="5" t="s">
        <v>182</v>
      </c>
      <c r="E769" s="36">
        <v>105</v>
      </c>
      <c r="F769" s="36">
        <f>E769-G769</f>
        <v>0</v>
      </c>
      <c r="G769" s="36">
        <v>105</v>
      </c>
      <c r="H769" s="34">
        <v>45688</v>
      </c>
      <c r="I769" s="34"/>
      <c r="J769" s="34">
        <v>45712</v>
      </c>
      <c r="K769" s="5" t="s">
        <v>396</v>
      </c>
      <c r="L769" s="5" t="s">
        <v>298</v>
      </c>
      <c r="N769" s="45" t="s">
        <v>372</v>
      </c>
      <c r="Q769" s="36">
        <v>105</v>
      </c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2:26" x14ac:dyDescent="0.25">
      <c r="B770" s="5">
        <v>84</v>
      </c>
      <c r="C770" s="34">
        <v>45692</v>
      </c>
      <c r="D770" s="5" t="s">
        <v>23</v>
      </c>
      <c r="E770" s="36">
        <v>75</v>
      </c>
      <c r="F770" s="36">
        <f>E770-G770</f>
        <v>0</v>
      </c>
      <c r="G770" s="36">
        <v>75</v>
      </c>
      <c r="H770" s="34">
        <v>45699</v>
      </c>
      <c r="I770" s="34"/>
      <c r="J770" s="34">
        <v>45715</v>
      </c>
      <c r="K770" s="5" t="s">
        <v>313</v>
      </c>
      <c r="L770" s="5" t="s">
        <v>298</v>
      </c>
      <c r="N770" s="91" t="s">
        <v>663</v>
      </c>
      <c r="Q770" s="36">
        <v>75</v>
      </c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2:26" x14ac:dyDescent="0.25">
      <c r="B771" s="5">
        <v>77</v>
      </c>
      <c r="C771" s="34">
        <v>46056</v>
      </c>
      <c r="D771" s="5" t="s">
        <v>470</v>
      </c>
      <c r="E771" s="36">
        <v>2400</v>
      </c>
      <c r="F771" s="36">
        <f>E771-G771</f>
        <v>0</v>
      </c>
      <c r="G771" s="36">
        <v>2400</v>
      </c>
      <c r="H771" s="34">
        <v>45716</v>
      </c>
      <c r="I771" s="34"/>
      <c r="J771" s="34">
        <v>45716</v>
      </c>
      <c r="K771" s="5" t="s">
        <v>416</v>
      </c>
      <c r="L771" s="5" t="s">
        <v>309</v>
      </c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2:26" x14ac:dyDescent="0.25">
      <c r="B772" s="5">
        <v>122</v>
      </c>
      <c r="C772" s="34">
        <v>45712</v>
      </c>
      <c r="D772" s="5" t="s">
        <v>23</v>
      </c>
      <c r="E772" s="36">
        <v>56.56</v>
      </c>
      <c r="F772" s="36">
        <f>E772-G772</f>
        <v>0</v>
      </c>
      <c r="G772" s="36">
        <v>56.56</v>
      </c>
      <c r="H772" s="34">
        <v>45714</v>
      </c>
      <c r="I772" s="34"/>
      <c r="J772" s="34">
        <v>45716</v>
      </c>
      <c r="K772" s="5" t="s">
        <v>382</v>
      </c>
      <c r="L772" s="5" t="s">
        <v>298</v>
      </c>
      <c r="Q772" s="36">
        <v>56.56</v>
      </c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2:26" x14ac:dyDescent="0.25">
      <c r="B773" s="5">
        <v>130</v>
      </c>
      <c r="C773" s="34">
        <v>45715</v>
      </c>
      <c r="D773" s="5" t="s">
        <v>23</v>
      </c>
      <c r="E773" s="36">
        <v>63.58</v>
      </c>
      <c r="F773" s="36">
        <f>E773-G773</f>
        <v>0</v>
      </c>
      <c r="G773" s="36">
        <v>63.58</v>
      </c>
      <c r="H773" s="34">
        <v>45719</v>
      </c>
      <c r="I773" s="34"/>
      <c r="J773" s="34">
        <v>45719</v>
      </c>
      <c r="K773" s="5" t="s">
        <v>313</v>
      </c>
      <c r="L773" s="5" t="s">
        <v>309</v>
      </c>
      <c r="M773" s="5" t="s">
        <v>350</v>
      </c>
      <c r="Q773" s="44"/>
      <c r="R773" s="36">
        <v>63.58</v>
      </c>
      <c r="S773" s="44"/>
      <c r="T773" s="44"/>
      <c r="U773" s="44"/>
      <c r="V773" s="44"/>
      <c r="W773" s="44"/>
      <c r="X773" s="44"/>
      <c r="Y773" s="44"/>
      <c r="Z773" s="44"/>
    </row>
    <row r="774" spans="2:26" x14ac:dyDescent="0.25">
      <c r="B774" s="5">
        <v>132</v>
      </c>
      <c r="C774" s="34">
        <v>45716</v>
      </c>
      <c r="D774" s="5" t="s">
        <v>307</v>
      </c>
      <c r="E774" s="36">
        <v>11.49</v>
      </c>
      <c r="F774" s="36">
        <f>E774-G774</f>
        <v>0</v>
      </c>
      <c r="G774" s="36">
        <v>11.49</v>
      </c>
      <c r="H774" s="34">
        <v>45720</v>
      </c>
      <c r="I774" s="34"/>
      <c r="J774" s="34">
        <v>45719</v>
      </c>
      <c r="K774" s="5" t="s">
        <v>544</v>
      </c>
      <c r="L774" s="5" t="s">
        <v>309</v>
      </c>
      <c r="M774" s="5" t="s">
        <v>350</v>
      </c>
      <c r="Q774" s="44"/>
      <c r="R774" s="44"/>
      <c r="S774" s="44"/>
      <c r="T774" s="36">
        <v>11.49</v>
      </c>
      <c r="U774" s="44"/>
      <c r="V774" s="44"/>
      <c r="W774" s="44"/>
      <c r="X774" s="44"/>
      <c r="Y774" s="44"/>
      <c r="Z774" s="44"/>
    </row>
    <row r="775" spans="2:26" x14ac:dyDescent="0.25">
      <c r="B775" s="5">
        <v>96</v>
      </c>
      <c r="C775" s="34">
        <v>45700</v>
      </c>
      <c r="D775" s="5" t="s">
        <v>451</v>
      </c>
      <c r="E775" s="36">
        <v>383.6</v>
      </c>
      <c r="F775" s="36">
        <f>E775-G775</f>
        <v>0</v>
      </c>
      <c r="G775" s="36">
        <v>383.6</v>
      </c>
      <c r="H775" s="34">
        <v>45716</v>
      </c>
      <c r="I775" s="34"/>
      <c r="J775" s="34">
        <v>45716</v>
      </c>
      <c r="K775" s="5" t="s">
        <v>342</v>
      </c>
      <c r="L775" s="5" t="s">
        <v>298</v>
      </c>
      <c r="Q775" s="36">
        <v>383.6</v>
      </c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2:26" x14ac:dyDescent="0.25">
      <c r="B776" s="5">
        <v>141</v>
      </c>
      <c r="C776" s="34">
        <v>45720</v>
      </c>
      <c r="D776" s="5" t="s">
        <v>510</v>
      </c>
      <c r="E776" s="36">
        <v>2736</v>
      </c>
      <c r="F776" s="36">
        <f>E776-G776</f>
        <v>0</v>
      </c>
      <c r="G776" s="36">
        <v>2736</v>
      </c>
      <c r="H776" s="34">
        <v>45720</v>
      </c>
      <c r="I776" s="34"/>
      <c r="J776" s="34">
        <v>45720</v>
      </c>
      <c r="K776" s="5" t="s">
        <v>662</v>
      </c>
      <c r="L776" s="5" t="s">
        <v>298</v>
      </c>
      <c r="N776" s="45" t="s">
        <v>372</v>
      </c>
      <c r="Q776" s="44"/>
      <c r="R776" s="36">
        <v>2736</v>
      </c>
      <c r="S776" s="44"/>
      <c r="T776" s="44"/>
      <c r="U776" s="44"/>
      <c r="V776" s="44"/>
      <c r="W776" s="44"/>
      <c r="X776" s="44"/>
      <c r="Y776" s="44"/>
      <c r="Z776" s="44"/>
    </row>
    <row r="777" spans="2:26" x14ac:dyDescent="0.25">
      <c r="B777" s="5">
        <v>127</v>
      </c>
      <c r="C777" s="34">
        <v>45714</v>
      </c>
      <c r="D777" s="5" t="s">
        <v>316</v>
      </c>
      <c r="E777" s="36">
        <v>170.86</v>
      </c>
      <c r="F777" s="36">
        <f>E777-G777</f>
        <v>0</v>
      </c>
      <c r="G777" s="36">
        <v>170.86</v>
      </c>
      <c r="H777" s="34">
        <v>45720</v>
      </c>
      <c r="I777" s="34"/>
      <c r="J777" s="34">
        <v>45720</v>
      </c>
      <c r="K777" s="5" t="s">
        <v>382</v>
      </c>
      <c r="L777" s="5" t="s">
        <v>309</v>
      </c>
      <c r="M777" s="5" t="s">
        <v>350</v>
      </c>
      <c r="Q777" s="44"/>
      <c r="R777" s="36">
        <v>170.86</v>
      </c>
      <c r="S777" s="44"/>
      <c r="T777" s="44"/>
      <c r="U777" s="44"/>
      <c r="V777" s="44"/>
      <c r="W777" s="44"/>
      <c r="X777" s="44"/>
      <c r="Y777" s="44"/>
      <c r="Z777" s="44"/>
    </row>
    <row r="778" spans="2:26" x14ac:dyDescent="0.25">
      <c r="B778" s="5">
        <v>90</v>
      </c>
      <c r="C778" s="34">
        <v>45694</v>
      </c>
      <c r="D778" s="5" t="s">
        <v>335</v>
      </c>
      <c r="E778" s="36">
        <v>274.60000000000002</v>
      </c>
      <c r="F778" s="36">
        <f>E778-G778</f>
        <v>0</v>
      </c>
      <c r="G778" s="36">
        <v>274.60000000000002</v>
      </c>
      <c r="H778" s="34">
        <v>45715</v>
      </c>
      <c r="I778" s="34"/>
      <c r="J778" s="34">
        <v>45720</v>
      </c>
      <c r="K778" s="5" t="s">
        <v>313</v>
      </c>
      <c r="L778" s="5" t="s">
        <v>309</v>
      </c>
      <c r="M778" s="5" t="s">
        <v>350</v>
      </c>
      <c r="N778" s="45" t="s">
        <v>661</v>
      </c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2:26" x14ac:dyDescent="0.25">
      <c r="B779" s="5">
        <v>72</v>
      </c>
      <c r="C779" s="34">
        <v>45688</v>
      </c>
      <c r="D779" s="5" t="s">
        <v>328</v>
      </c>
      <c r="E779" s="36">
        <v>98.19</v>
      </c>
      <c r="F779" s="36">
        <f>E779-G779</f>
        <v>0</v>
      </c>
      <c r="G779" s="36">
        <v>98.19</v>
      </c>
      <c r="H779" s="34">
        <v>45702</v>
      </c>
      <c r="I779" s="34"/>
      <c r="J779" s="34">
        <v>45720</v>
      </c>
      <c r="K779" s="5" t="s">
        <v>313</v>
      </c>
      <c r="L779" s="5" t="s">
        <v>309</v>
      </c>
      <c r="M779" s="5" t="s">
        <v>350</v>
      </c>
      <c r="N779" s="45" t="s">
        <v>660</v>
      </c>
      <c r="Q779" s="44"/>
      <c r="R779" s="36">
        <v>98.19</v>
      </c>
      <c r="S779" s="44"/>
      <c r="T779" s="44"/>
      <c r="U779" s="44"/>
      <c r="V779" s="44"/>
      <c r="W779" s="44"/>
      <c r="X779" s="44"/>
      <c r="Y779" s="44"/>
      <c r="Z779" s="44"/>
    </row>
    <row r="780" spans="2:26" x14ac:dyDescent="0.25">
      <c r="B780" s="5">
        <v>396</v>
      </c>
      <c r="C780" s="34">
        <v>45482</v>
      </c>
      <c r="D780" s="5" t="s">
        <v>347</v>
      </c>
      <c r="E780" s="36">
        <v>30420</v>
      </c>
      <c r="F780" s="36">
        <f>E780-G780</f>
        <v>0</v>
      </c>
      <c r="G780" s="36">
        <v>30420</v>
      </c>
      <c r="H780" s="34">
        <v>45550</v>
      </c>
      <c r="I780" s="34"/>
      <c r="J780" s="34">
        <v>45721</v>
      </c>
      <c r="K780" s="5" t="s">
        <v>525</v>
      </c>
      <c r="L780" s="5" t="s">
        <v>303</v>
      </c>
      <c r="M780" s="5" t="s">
        <v>308</v>
      </c>
      <c r="N780" s="45" t="s">
        <v>659</v>
      </c>
      <c r="Q780" s="44"/>
      <c r="R780" s="40">
        <v>2070</v>
      </c>
      <c r="S780" s="92">
        <v>9450</v>
      </c>
      <c r="T780" s="92">
        <v>330</v>
      </c>
      <c r="U780" s="44"/>
      <c r="V780" s="44"/>
      <c r="W780" s="44"/>
      <c r="X780" s="44"/>
      <c r="Y780" s="44"/>
      <c r="Z780" s="44"/>
    </row>
    <row r="781" spans="2:26" x14ac:dyDescent="0.25">
      <c r="B781" s="5">
        <v>124</v>
      </c>
      <c r="C781" s="34">
        <v>45713</v>
      </c>
      <c r="D781" s="5" t="s">
        <v>300</v>
      </c>
      <c r="E781" s="36">
        <v>95.5</v>
      </c>
      <c r="F781" s="36">
        <f>E781-G781</f>
        <v>0</v>
      </c>
      <c r="G781" s="36">
        <v>95.5</v>
      </c>
      <c r="H781" s="34">
        <v>45720</v>
      </c>
      <c r="I781" s="34"/>
      <c r="J781" s="34">
        <v>45721</v>
      </c>
      <c r="K781" s="5" t="s">
        <v>655</v>
      </c>
      <c r="Q781" s="44"/>
      <c r="R781" s="44"/>
      <c r="S781" s="36">
        <v>95.5</v>
      </c>
      <c r="T781" s="44"/>
      <c r="U781" s="44"/>
      <c r="V781" s="44"/>
      <c r="W781" s="44"/>
      <c r="X781" s="44"/>
      <c r="Y781" s="44"/>
      <c r="Z781" s="44"/>
    </row>
    <row r="782" spans="2:26" x14ac:dyDescent="0.25">
      <c r="B782" s="5">
        <v>440</v>
      </c>
      <c r="C782" s="34">
        <v>45502</v>
      </c>
      <c r="D782" s="5" t="s">
        <v>563</v>
      </c>
      <c r="E782" s="36">
        <v>41687.5</v>
      </c>
      <c r="F782" s="36">
        <f>E782-G782</f>
        <v>0</v>
      </c>
      <c r="G782" s="36">
        <v>41687.5</v>
      </c>
      <c r="H782" s="34">
        <v>45550</v>
      </c>
      <c r="I782" s="34"/>
      <c r="J782" s="34">
        <v>45723</v>
      </c>
      <c r="K782" s="5" t="s">
        <v>581</v>
      </c>
      <c r="L782" s="5" t="s">
        <v>309</v>
      </c>
      <c r="N782" s="45" t="s">
        <v>658</v>
      </c>
      <c r="Q782" s="40">
        <v>33350</v>
      </c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2:26" x14ac:dyDescent="0.25">
      <c r="B783" s="5">
        <v>135</v>
      </c>
      <c r="C783" s="34">
        <v>45716</v>
      </c>
      <c r="D783" s="5" t="s">
        <v>657</v>
      </c>
      <c r="E783" s="36">
        <v>337.75</v>
      </c>
      <c r="F783" s="36">
        <f>E783-G783</f>
        <v>0</v>
      </c>
      <c r="G783" s="36">
        <v>337.75</v>
      </c>
      <c r="H783" s="34">
        <v>45723</v>
      </c>
      <c r="I783" s="34"/>
      <c r="J783" s="34">
        <v>45721</v>
      </c>
      <c r="K783" s="5" t="s">
        <v>534</v>
      </c>
      <c r="L783" s="5" t="s">
        <v>298</v>
      </c>
      <c r="Q783" s="44"/>
      <c r="R783" s="44"/>
      <c r="S783" s="36">
        <v>337.75</v>
      </c>
      <c r="T783" s="44"/>
      <c r="U783" s="44"/>
      <c r="V783" s="44"/>
      <c r="W783" s="44"/>
      <c r="X783" s="44"/>
      <c r="Y783" s="44"/>
      <c r="Z783" s="44"/>
    </row>
    <row r="784" spans="2:26" x14ac:dyDescent="0.25">
      <c r="B784" s="5">
        <v>142</v>
      </c>
      <c r="C784" s="34">
        <v>45720</v>
      </c>
      <c r="D784" s="5" t="s">
        <v>307</v>
      </c>
      <c r="E784" s="36">
        <v>61.34</v>
      </c>
      <c r="F784" s="36">
        <f>E784-G784</f>
        <v>0</v>
      </c>
      <c r="G784" s="36">
        <v>61.34</v>
      </c>
      <c r="H784" s="34">
        <v>45722</v>
      </c>
      <c r="I784" s="34"/>
      <c r="J784" s="34">
        <v>45721</v>
      </c>
      <c r="K784" s="5" t="s">
        <v>534</v>
      </c>
      <c r="L784" s="5" t="s">
        <v>298</v>
      </c>
      <c r="Q784" s="44"/>
      <c r="R784" s="44"/>
      <c r="S784" s="44"/>
      <c r="T784" s="36">
        <v>61.34</v>
      </c>
      <c r="U784" s="44"/>
      <c r="V784" s="44"/>
      <c r="W784" s="44"/>
      <c r="X784" s="44"/>
      <c r="Y784" s="44"/>
      <c r="Z784" s="44"/>
    </row>
    <row r="785" spans="2:26" x14ac:dyDescent="0.25">
      <c r="B785" s="5">
        <v>134</v>
      </c>
      <c r="C785" s="34">
        <v>45716</v>
      </c>
      <c r="D785" s="5" t="s">
        <v>612</v>
      </c>
      <c r="E785" s="36">
        <v>315</v>
      </c>
      <c r="F785" s="36">
        <f>E785-G785</f>
        <v>0</v>
      </c>
      <c r="G785" s="36">
        <v>315</v>
      </c>
      <c r="H785" s="34">
        <v>45723</v>
      </c>
      <c r="I785" s="34"/>
      <c r="J785" s="34">
        <v>45722</v>
      </c>
      <c r="K785" s="5" t="s">
        <v>534</v>
      </c>
      <c r="L785" s="5" t="s">
        <v>309</v>
      </c>
      <c r="M785" s="5" t="s">
        <v>350</v>
      </c>
      <c r="Q785" s="44"/>
      <c r="R785" s="36">
        <v>315</v>
      </c>
      <c r="S785" s="44"/>
      <c r="T785" s="44"/>
      <c r="U785" s="44"/>
      <c r="V785" s="44"/>
      <c r="W785" s="44"/>
      <c r="X785" s="44"/>
      <c r="Y785" s="44"/>
      <c r="Z785" s="44"/>
    </row>
    <row r="786" spans="2:26" x14ac:dyDescent="0.25">
      <c r="B786" s="5">
        <v>136</v>
      </c>
      <c r="C786" s="34">
        <v>45716</v>
      </c>
      <c r="D786" s="5" t="s">
        <v>375</v>
      </c>
      <c r="E786" s="36">
        <v>105</v>
      </c>
      <c r="F786" s="36">
        <f>E786-G786</f>
        <v>0</v>
      </c>
      <c r="G786" s="36">
        <v>105</v>
      </c>
      <c r="H786" s="34">
        <v>45723</v>
      </c>
      <c r="I786" s="34"/>
      <c r="J786" s="34">
        <v>45722</v>
      </c>
      <c r="K786" s="5" t="s">
        <v>534</v>
      </c>
      <c r="L786" s="5" t="s">
        <v>309</v>
      </c>
      <c r="M786" s="5" t="s">
        <v>350</v>
      </c>
      <c r="Q786" s="44"/>
      <c r="R786" s="36">
        <v>105</v>
      </c>
      <c r="S786" s="44"/>
      <c r="T786" s="44"/>
      <c r="U786" s="44"/>
      <c r="V786" s="44"/>
      <c r="W786" s="44"/>
      <c r="X786" s="44"/>
      <c r="Y786" s="44"/>
      <c r="Z786" s="44"/>
    </row>
    <row r="787" spans="2:26" x14ac:dyDescent="0.25">
      <c r="B787" s="5">
        <v>145</v>
      </c>
      <c r="C787" s="34">
        <v>45721</v>
      </c>
      <c r="D787" s="5" t="s">
        <v>307</v>
      </c>
      <c r="E787" s="36">
        <v>26.4</v>
      </c>
      <c r="F787" s="36">
        <f>E787-G787</f>
        <v>0</v>
      </c>
      <c r="G787" s="36">
        <v>26.4</v>
      </c>
      <c r="H787" s="34">
        <v>45723</v>
      </c>
      <c r="I787" s="34"/>
      <c r="J787" s="34">
        <v>45722</v>
      </c>
      <c r="K787" s="5" t="s">
        <v>544</v>
      </c>
      <c r="L787" s="5" t="s">
        <v>298</v>
      </c>
      <c r="Q787" s="44"/>
      <c r="R787" s="44"/>
      <c r="S787" s="44"/>
      <c r="T787" s="36">
        <v>26.4</v>
      </c>
      <c r="U787" s="44"/>
      <c r="V787" s="44"/>
      <c r="W787" s="44"/>
      <c r="X787" s="44"/>
      <c r="Y787" s="44"/>
      <c r="Z787" s="44"/>
    </row>
    <row r="788" spans="2:26" x14ac:dyDescent="0.25">
      <c r="B788" s="5">
        <v>123</v>
      </c>
      <c r="C788" s="34">
        <v>45712</v>
      </c>
      <c r="D788" s="5" t="s">
        <v>300</v>
      </c>
      <c r="E788" s="36">
        <v>180</v>
      </c>
      <c r="F788" s="36">
        <f>E788-G788</f>
        <v>0</v>
      </c>
      <c r="G788" s="36">
        <v>180</v>
      </c>
      <c r="H788" s="34">
        <v>45726</v>
      </c>
      <c r="I788" s="34"/>
      <c r="J788" s="34">
        <v>45723</v>
      </c>
      <c r="K788" s="5" t="s">
        <v>620</v>
      </c>
      <c r="Q788" s="44"/>
      <c r="R788" s="44"/>
      <c r="S788" s="36">
        <v>180</v>
      </c>
      <c r="T788" s="44"/>
      <c r="U788" s="44"/>
      <c r="V788" s="44"/>
      <c r="W788" s="44"/>
      <c r="X788" s="44"/>
      <c r="Y788" s="44"/>
      <c r="Z788" s="44"/>
    </row>
    <row r="789" spans="2:26" x14ac:dyDescent="0.25">
      <c r="B789" s="5">
        <v>100</v>
      </c>
      <c r="C789" s="34">
        <v>45701</v>
      </c>
      <c r="D789" s="5" t="s">
        <v>314</v>
      </c>
      <c r="E789" s="36">
        <v>537.5</v>
      </c>
      <c r="F789" s="36">
        <f>E789-G789</f>
        <v>0</v>
      </c>
      <c r="G789" s="36">
        <v>537.5</v>
      </c>
      <c r="H789" s="34">
        <v>45716</v>
      </c>
      <c r="I789" s="34"/>
      <c r="J789" s="34">
        <v>45722</v>
      </c>
      <c r="K789" s="5" t="s">
        <v>571</v>
      </c>
      <c r="L789" s="5" t="s">
        <v>309</v>
      </c>
      <c r="M789" s="5" t="s">
        <v>350</v>
      </c>
      <c r="N789" s="45" t="s">
        <v>656</v>
      </c>
      <c r="Q789" s="44"/>
      <c r="R789" s="36">
        <v>537.5</v>
      </c>
      <c r="S789" s="44"/>
      <c r="T789" s="44"/>
      <c r="U789" s="44"/>
      <c r="V789" s="44"/>
      <c r="W789" s="44"/>
      <c r="X789" s="44"/>
      <c r="Y789" s="44"/>
      <c r="Z789" s="44"/>
    </row>
    <row r="790" spans="2:26" x14ac:dyDescent="0.25">
      <c r="B790" s="5">
        <v>139</v>
      </c>
      <c r="C790" s="34">
        <v>45719</v>
      </c>
      <c r="D790" s="5" t="s">
        <v>307</v>
      </c>
      <c r="E790" s="36">
        <v>12.36</v>
      </c>
      <c r="F790" s="36">
        <f>E790-G790</f>
        <v>0</v>
      </c>
      <c r="G790" s="36">
        <v>12.36</v>
      </c>
      <c r="H790" s="34">
        <v>45721</v>
      </c>
      <c r="I790" s="34"/>
      <c r="J790" s="34">
        <v>45723</v>
      </c>
      <c r="K790" s="5" t="s">
        <v>382</v>
      </c>
      <c r="L790" s="5" t="s">
        <v>298</v>
      </c>
      <c r="Q790" s="44"/>
      <c r="R790" s="44"/>
      <c r="S790" s="44"/>
      <c r="T790" s="36">
        <v>12.36</v>
      </c>
      <c r="U790" s="44"/>
      <c r="V790" s="44"/>
      <c r="W790" s="44"/>
      <c r="X790" s="44"/>
      <c r="Y790" s="44"/>
      <c r="Z790" s="44"/>
    </row>
    <row r="791" spans="2:26" x14ac:dyDescent="0.25">
      <c r="B791" s="5">
        <v>55</v>
      </c>
      <c r="C791" s="34">
        <v>45684</v>
      </c>
      <c r="D791" s="5" t="s">
        <v>405</v>
      </c>
      <c r="E791" s="36">
        <v>450</v>
      </c>
      <c r="F791" s="36">
        <f>E791-G791</f>
        <v>0</v>
      </c>
      <c r="G791" s="36">
        <v>450</v>
      </c>
      <c r="H791" s="34">
        <v>45698</v>
      </c>
      <c r="I791" s="34"/>
      <c r="J791" s="34">
        <v>45723</v>
      </c>
      <c r="K791" s="5" t="s">
        <v>655</v>
      </c>
      <c r="L791" s="5" t="s">
        <v>309</v>
      </c>
      <c r="M791" s="5" t="s">
        <v>308</v>
      </c>
      <c r="N791" s="53" t="s">
        <v>654</v>
      </c>
      <c r="Q791" s="44"/>
      <c r="R791" s="36">
        <v>450</v>
      </c>
      <c r="S791" s="44"/>
      <c r="T791" s="44"/>
      <c r="U791" s="44"/>
      <c r="V791" s="44"/>
      <c r="W791" s="44"/>
      <c r="X791" s="44"/>
      <c r="Y791" s="44"/>
      <c r="Z791" s="44"/>
    </row>
    <row r="792" spans="2:26" x14ac:dyDescent="0.25">
      <c r="B792" s="5">
        <v>108</v>
      </c>
      <c r="C792" s="34">
        <v>45705</v>
      </c>
      <c r="D792" s="5" t="s">
        <v>653</v>
      </c>
      <c r="E792" s="36">
        <v>320</v>
      </c>
      <c r="F792" s="36">
        <f>E792-G792</f>
        <v>0</v>
      </c>
      <c r="G792" s="36">
        <v>320</v>
      </c>
      <c r="H792" s="34">
        <v>45712</v>
      </c>
      <c r="I792" s="34"/>
      <c r="J792" s="34">
        <v>45709</v>
      </c>
      <c r="K792" s="5" t="s">
        <v>652</v>
      </c>
      <c r="L792" s="5" t="s">
        <v>298</v>
      </c>
      <c r="Q792" s="44"/>
      <c r="R792" s="36">
        <v>320</v>
      </c>
      <c r="S792" s="44"/>
      <c r="T792" s="44"/>
      <c r="U792" s="44"/>
      <c r="V792" s="44"/>
      <c r="W792" s="44"/>
      <c r="X792" s="44"/>
      <c r="Y792" s="44"/>
      <c r="Z792" s="44"/>
    </row>
    <row r="793" spans="2:26" x14ac:dyDescent="0.25">
      <c r="B793" s="5">
        <v>95</v>
      </c>
      <c r="C793" s="34">
        <v>45700</v>
      </c>
      <c r="D793" s="5" t="s">
        <v>463</v>
      </c>
      <c r="E793" s="36">
        <v>5000</v>
      </c>
      <c r="F793" s="36">
        <f>E793-G793</f>
        <v>0</v>
      </c>
      <c r="G793" s="36">
        <v>5000</v>
      </c>
      <c r="H793" s="34">
        <v>45716</v>
      </c>
      <c r="I793" s="34"/>
      <c r="J793" s="34">
        <v>45716</v>
      </c>
      <c r="K793" s="5" t="s">
        <v>616</v>
      </c>
      <c r="L793" s="5" t="s">
        <v>298</v>
      </c>
      <c r="N793" s="5" t="s">
        <v>651</v>
      </c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2:26" x14ac:dyDescent="0.25">
      <c r="B794" s="5">
        <v>147</v>
      </c>
      <c r="C794" s="34">
        <v>45722</v>
      </c>
      <c r="D794" s="5" t="s">
        <v>24</v>
      </c>
      <c r="E794" s="36">
        <v>61.76</v>
      </c>
      <c r="F794" s="36">
        <f>E794-G794</f>
        <v>0</v>
      </c>
      <c r="G794" s="36">
        <v>61.76</v>
      </c>
      <c r="H794" s="34">
        <v>45728</v>
      </c>
      <c r="I794" s="34"/>
      <c r="J794" s="34">
        <v>45727</v>
      </c>
      <c r="K794" s="5" t="s">
        <v>367</v>
      </c>
      <c r="L794" s="5" t="s">
        <v>309</v>
      </c>
      <c r="M794" s="5" t="s">
        <v>350</v>
      </c>
      <c r="Q794" s="44"/>
      <c r="R794" s="36">
        <v>61.76</v>
      </c>
      <c r="S794" s="44"/>
      <c r="T794" s="44"/>
      <c r="U794" s="44"/>
      <c r="V794" s="44"/>
      <c r="W794" s="44"/>
      <c r="X794" s="44"/>
      <c r="Y794" s="44"/>
      <c r="Z794" s="44"/>
    </row>
    <row r="795" spans="2:26" x14ac:dyDescent="0.25">
      <c r="B795" s="5">
        <v>163</v>
      </c>
      <c r="C795" s="34">
        <v>45727</v>
      </c>
      <c r="D795" s="5" t="s">
        <v>307</v>
      </c>
      <c r="E795" s="36">
        <v>232.86</v>
      </c>
      <c r="F795" s="36">
        <f>E795-G795</f>
        <v>0</v>
      </c>
      <c r="G795" s="36">
        <v>232.86</v>
      </c>
      <c r="H795" s="34">
        <v>45730</v>
      </c>
      <c r="I795" s="34"/>
      <c r="J795" s="34">
        <v>45728</v>
      </c>
      <c r="K795" s="5" t="s">
        <v>650</v>
      </c>
      <c r="L795" s="5" t="s">
        <v>298</v>
      </c>
      <c r="Q795" s="44"/>
      <c r="R795" s="44"/>
      <c r="S795" s="44"/>
      <c r="T795" s="36">
        <v>232.86</v>
      </c>
      <c r="U795" s="44"/>
      <c r="V795" s="44"/>
      <c r="W795" s="44"/>
      <c r="X795" s="44"/>
      <c r="Y795" s="44"/>
      <c r="Z795" s="44"/>
    </row>
    <row r="796" spans="2:26" x14ac:dyDescent="0.25">
      <c r="B796" s="5">
        <v>158</v>
      </c>
      <c r="C796" s="34">
        <v>45727</v>
      </c>
      <c r="D796" s="5" t="s">
        <v>307</v>
      </c>
      <c r="E796" s="36">
        <v>18.45</v>
      </c>
      <c r="F796" s="36">
        <f>E796-G796</f>
        <v>0</v>
      </c>
      <c r="G796" s="36">
        <v>18.45</v>
      </c>
      <c r="H796" s="34">
        <v>45729</v>
      </c>
      <c r="I796" s="34"/>
      <c r="J796" s="34">
        <v>45728</v>
      </c>
      <c r="K796" s="5" t="s">
        <v>571</v>
      </c>
      <c r="L796" s="5" t="s">
        <v>309</v>
      </c>
      <c r="M796" s="5" t="s">
        <v>350</v>
      </c>
      <c r="Q796" s="44"/>
      <c r="R796" s="44"/>
      <c r="S796" s="44"/>
      <c r="T796" s="36">
        <v>18.45</v>
      </c>
      <c r="U796" s="44"/>
      <c r="V796" s="44"/>
      <c r="W796" s="44"/>
      <c r="X796" s="44"/>
      <c r="Y796" s="44"/>
      <c r="Z796" s="44"/>
    </row>
    <row r="797" spans="2:26" x14ac:dyDescent="0.25">
      <c r="B797" s="5">
        <v>159</v>
      </c>
      <c r="C797" s="34">
        <v>45727</v>
      </c>
      <c r="D797" s="5" t="s">
        <v>307</v>
      </c>
      <c r="E797" s="36">
        <v>309.12</v>
      </c>
      <c r="F797" s="36">
        <f>E797-G797</f>
        <v>0</v>
      </c>
      <c r="G797" s="36">
        <v>309.12</v>
      </c>
      <c r="H797" s="34">
        <v>45730</v>
      </c>
      <c r="I797" s="34"/>
      <c r="J797" s="34">
        <v>45370</v>
      </c>
      <c r="K797" s="5" t="s">
        <v>649</v>
      </c>
      <c r="L797" s="5" t="s">
        <v>309</v>
      </c>
      <c r="M797" s="5" t="s">
        <v>350</v>
      </c>
      <c r="Q797" s="44"/>
      <c r="R797" s="44"/>
      <c r="S797" s="44"/>
      <c r="T797" s="36">
        <v>309.12</v>
      </c>
      <c r="U797" s="44"/>
      <c r="V797" s="44"/>
      <c r="W797" s="44"/>
      <c r="X797" s="44"/>
      <c r="Y797" s="44"/>
      <c r="Z797" s="44"/>
    </row>
    <row r="798" spans="2:26" x14ac:dyDescent="0.25">
      <c r="B798" s="5">
        <v>607</v>
      </c>
      <c r="C798" s="34">
        <v>45614</v>
      </c>
      <c r="D798" s="5" t="s">
        <v>157</v>
      </c>
      <c r="E798" s="36">
        <v>3130</v>
      </c>
      <c r="F798" s="36">
        <f>E798-G798</f>
        <v>0</v>
      </c>
      <c r="G798" s="36">
        <v>3130</v>
      </c>
      <c r="H798" s="34">
        <v>45694</v>
      </c>
      <c r="I798" s="34"/>
      <c r="J798" s="34">
        <v>45728</v>
      </c>
      <c r="K798" s="5" t="s">
        <v>445</v>
      </c>
      <c r="L798" s="5" t="s">
        <v>309</v>
      </c>
      <c r="M798" s="5" t="s">
        <v>308</v>
      </c>
      <c r="N798" s="45" t="s">
        <v>648</v>
      </c>
      <c r="Q798" s="44"/>
      <c r="R798" s="36">
        <v>3130</v>
      </c>
      <c r="S798" s="44"/>
      <c r="T798" s="44"/>
      <c r="U798" s="44"/>
      <c r="V798" s="44"/>
      <c r="W798" s="44"/>
      <c r="X798" s="44"/>
      <c r="Y798" s="44"/>
      <c r="Z798" s="44"/>
    </row>
    <row r="799" spans="2:26" x14ac:dyDescent="0.25">
      <c r="B799" s="5">
        <v>133</v>
      </c>
      <c r="C799" s="34">
        <v>45716</v>
      </c>
      <c r="D799" s="5" t="s">
        <v>420</v>
      </c>
      <c r="E799" s="36">
        <v>220</v>
      </c>
      <c r="F799" s="36">
        <f>E799-G799</f>
        <v>0</v>
      </c>
      <c r="G799" s="36">
        <v>220</v>
      </c>
      <c r="H799" s="34">
        <v>45730</v>
      </c>
      <c r="I799" s="34"/>
      <c r="J799" s="34">
        <v>45730</v>
      </c>
      <c r="K799" s="5" t="s">
        <v>534</v>
      </c>
      <c r="L799" s="5" t="s">
        <v>298</v>
      </c>
      <c r="Q799" s="44"/>
      <c r="R799" s="36">
        <v>220</v>
      </c>
      <c r="S799" s="44"/>
      <c r="T799" s="44"/>
      <c r="U799" s="44"/>
      <c r="V799" s="44"/>
      <c r="W799" s="44"/>
      <c r="X799" s="44"/>
      <c r="Y799" s="44"/>
      <c r="Z799" s="44"/>
    </row>
    <row r="800" spans="2:26" x14ac:dyDescent="0.25">
      <c r="B800" s="5">
        <v>695</v>
      </c>
      <c r="C800" s="34">
        <v>45644</v>
      </c>
      <c r="D800" s="5" t="s">
        <v>623</v>
      </c>
      <c r="E800" s="36">
        <v>4424.05</v>
      </c>
      <c r="F800" s="36">
        <f>E800-G800</f>
        <v>0</v>
      </c>
      <c r="G800" s="36">
        <v>4424.05</v>
      </c>
      <c r="H800" s="34">
        <v>45702</v>
      </c>
      <c r="I800" s="34"/>
      <c r="J800" s="34">
        <v>45729</v>
      </c>
      <c r="K800" s="5" t="s">
        <v>313</v>
      </c>
      <c r="L800" s="5" t="s">
        <v>309</v>
      </c>
      <c r="M800" s="5" t="s">
        <v>308</v>
      </c>
      <c r="N800" s="91" t="s">
        <v>647</v>
      </c>
      <c r="Q800" s="90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2:26" x14ac:dyDescent="0.25">
      <c r="B801" s="5">
        <v>152</v>
      </c>
      <c r="C801" s="34">
        <v>45726</v>
      </c>
      <c r="D801" s="5" t="s">
        <v>578</v>
      </c>
      <c r="E801" s="36">
        <v>251.87</v>
      </c>
      <c r="F801" s="36">
        <f>E801-G801</f>
        <v>0</v>
      </c>
      <c r="G801" s="36">
        <v>251.87</v>
      </c>
      <c r="H801" s="34">
        <v>45747</v>
      </c>
      <c r="I801" s="34"/>
      <c r="J801" s="34">
        <v>45733</v>
      </c>
      <c r="K801" s="5" t="s">
        <v>367</v>
      </c>
      <c r="L801" s="5" t="s">
        <v>298</v>
      </c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2:26" x14ac:dyDescent="0.25">
      <c r="B802" s="5">
        <v>162</v>
      </c>
      <c r="C802" s="34">
        <v>45727</v>
      </c>
      <c r="D802" s="5" t="s">
        <v>23</v>
      </c>
      <c r="E802" s="36">
        <v>155.72</v>
      </c>
      <c r="F802" s="36">
        <f>E802-G802</f>
        <v>0</v>
      </c>
      <c r="G802" s="36">
        <v>155.72</v>
      </c>
      <c r="H802" s="34">
        <v>45730</v>
      </c>
      <c r="I802" s="34"/>
      <c r="J802" s="34">
        <v>45733</v>
      </c>
      <c r="K802" s="5" t="s">
        <v>367</v>
      </c>
      <c r="L802" s="5" t="s">
        <v>298</v>
      </c>
      <c r="Q802" s="44"/>
      <c r="R802" s="33">
        <v>155.72</v>
      </c>
      <c r="S802" s="44"/>
      <c r="T802" s="44"/>
      <c r="U802" s="44"/>
      <c r="V802" s="44"/>
      <c r="W802" s="44"/>
      <c r="X802" s="44"/>
      <c r="Y802" s="44"/>
      <c r="Z802" s="44"/>
    </row>
    <row r="803" spans="2:26" x14ac:dyDescent="0.25">
      <c r="B803" s="5">
        <v>698</v>
      </c>
      <c r="C803" s="34">
        <v>45644</v>
      </c>
      <c r="D803" s="5" t="s">
        <v>23</v>
      </c>
      <c r="E803" s="36">
        <v>9080.1</v>
      </c>
      <c r="F803" s="36">
        <f>E803-G803</f>
        <v>0</v>
      </c>
      <c r="G803" s="36">
        <v>9080.1</v>
      </c>
      <c r="H803" s="34">
        <v>45736</v>
      </c>
      <c r="I803" s="34"/>
      <c r="J803" s="34">
        <v>45733</v>
      </c>
      <c r="K803" s="5" t="s">
        <v>313</v>
      </c>
      <c r="L803" s="5" t="s">
        <v>309</v>
      </c>
      <c r="M803" s="5" t="s">
        <v>308</v>
      </c>
      <c r="Q803" s="44"/>
      <c r="R803" s="36">
        <v>9080.1</v>
      </c>
      <c r="S803" s="44"/>
      <c r="T803" s="44"/>
      <c r="U803" s="44"/>
      <c r="V803" s="44"/>
      <c r="W803" s="44"/>
      <c r="X803" s="44"/>
      <c r="Y803" s="44"/>
      <c r="Z803" s="44"/>
    </row>
    <row r="804" spans="2:26" x14ac:dyDescent="0.25">
      <c r="B804" s="5">
        <v>164</v>
      </c>
      <c r="C804" s="34">
        <v>45728</v>
      </c>
      <c r="D804" s="5" t="s">
        <v>307</v>
      </c>
      <c r="E804" s="36">
        <v>335</v>
      </c>
      <c r="F804" s="36">
        <f>E804-G804</f>
        <v>0</v>
      </c>
      <c r="G804" s="36">
        <v>335</v>
      </c>
      <c r="H804" s="34">
        <v>45734</v>
      </c>
      <c r="I804" s="34"/>
      <c r="J804" s="34">
        <v>45733</v>
      </c>
      <c r="K804" s="5" t="s">
        <v>543</v>
      </c>
      <c r="L804" s="5" t="s">
        <v>298</v>
      </c>
      <c r="Q804" s="54"/>
      <c r="R804" s="44"/>
      <c r="S804" s="44"/>
      <c r="T804" s="33">
        <v>335</v>
      </c>
      <c r="U804" s="44"/>
      <c r="V804" s="44"/>
      <c r="W804" s="44"/>
      <c r="X804" s="44"/>
      <c r="Y804" s="44"/>
      <c r="Z804" s="44"/>
    </row>
    <row r="805" spans="2:26" x14ac:dyDescent="0.25">
      <c r="B805" s="5">
        <v>60</v>
      </c>
      <c r="C805" s="34">
        <v>45685</v>
      </c>
      <c r="D805" s="5" t="s">
        <v>646</v>
      </c>
      <c r="E805" s="36">
        <f>P805*O3</f>
        <v>1260.2159999999999</v>
      </c>
      <c r="F805" s="36">
        <f>E805-G805</f>
        <v>-4.0000000001327862E-3</v>
      </c>
      <c r="G805" s="36">
        <v>1260.22</v>
      </c>
      <c r="H805" s="34">
        <v>45723</v>
      </c>
      <c r="I805" s="34"/>
      <c r="J805" s="34">
        <v>45733</v>
      </c>
      <c r="K805" s="5" t="s">
        <v>382</v>
      </c>
      <c r="L805" s="5" t="s">
        <v>309</v>
      </c>
      <c r="M805" s="5" t="s">
        <v>350</v>
      </c>
      <c r="N805" s="45" t="s">
        <v>645</v>
      </c>
      <c r="P805" s="89">
        <v>1095.8399999999999</v>
      </c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2:26" x14ac:dyDescent="0.25">
      <c r="B806" s="5">
        <v>175</v>
      </c>
      <c r="C806" s="34">
        <v>45730</v>
      </c>
      <c r="D806" s="5" t="s">
        <v>321</v>
      </c>
      <c r="E806" s="36">
        <v>20.84</v>
      </c>
      <c r="F806" s="36">
        <f>E806-G806</f>
        <v>0</v>
      </c>
      <c r="G806" s="36">
        <v>20.84</v>
      </c>
      <c r="H806" s="34">
        <v>45737</v>
      </c>
      <c r="I806" s="34"/>
      <c r="J806" s="34">
        <v>45734</v>
      </c>
      <c r="K806" s="5" t="s">
        <v>367</v>
      </c>
      <c r="L806" s="5" t="s">
        <v>298</v>
      </c>
      <c r="Q806" s="44"/>
      <c r="R806" s="33">
        <v>20.84</v>
      </c>
      <c r="S806" s="44"/>
      <c r="T806" s="44"/>
      <c r="U806" s="44"/>
      <c r="V806" s="44"/>
      <c r="W806" s="44"/>
      <c r="X806" s="44"/>
      <c r="Y806" s="44"/>
      <c r="Z806" s="44"/>
    </row>
    <row r="807" spans="2:26" x14ac:dyDescent="0.25">
      <c r="B807" s="5">
        <v>157</v>
      </c>
      <c r="C807" s="34">
        <v>45726</v>
      </c>
      <c r="D807" s="5" t="s">
        <v>328</v>
      </c>
      <c r="E807" s="36">
        <v>5567.29</v>
      </c>
      <c r="F807" s="36">
        <f>E807-G807</f>
        <v>0</v>
      </c>
      <c r="G807" s="36">
        <v>5567.29</v>
      </c>
      <c r="H807" s="34">
        <v>45729</v>
      </c>
      <c r="I807" s="34"/>
      <c r="J807" s="34">
        <v>45734</v>
      </c>
      <c r="K807" s="5" t="s">
        <v>367</v>
      </c>
      <c r="Q807" s="44"/>
      <c r="R807" s="36">
        <v>5567.29</v>
      </c>
      <c r="S807" s="44"/>
      <c r="T807" s="44"/>
      <c r="U807" s="44"/>
      <c r="V807" s="44"/>
      <c r="W807" s="44"/>
      <c r="X807" s="44"/>
      <c r="Y807" s="44"/>
      <c r="Z807" s="44"/>
    </row>
    <row r="808" spans="2:26" x14ac:dyDescent="0.25">
      <c r="B808" s="5">
        <v>173</v>
      </c>
      <c r="C808" s="34">
        <v>45730</v>
      </c>
      <c r="D808" s="5" t="s">
        <v>375</v>
      </c>
      <c r="E808" s="36">
        <v>106</v>
      </c>
      <c r="F808" s="36">
        <f>E808-G808</f>
        <v>0</v>
      </c>
      <c r="G808" s="36">
        <v>106</v>
      </c>
      <c r="H808" s="34">
        <v>45735</v>
      </c>
      <c r="I808" s="34"/>
      <c r="J808" s="34">
        <v>45735</v>
      </c>
      <c r="K808" s="5" t="s">
        <v>534</v>
      </c>
      <c r="L808" s="34" t="s">
        <v>298</v>
      </c>
      <c r="Q808" s="44"/>
      <c r="R808" s="33">
        <v>106</v>
      </c>
      <c r="S808" s="44"/>
      <c r="T808" s="44"/>
      <c r="U808" s="44"/>
      <c r="V808" s="44"/>
      <c r="W808" s="44"/>
      <c r="X808" s="44"/>
      <c r="Y808" s="44"/>
      <c r="Z808" s="44"/>
    </row>
    <row r="809" spans="2:26" x14ac:dyDescent="0.25">
      <c r="B809" s="5">
        <v>184</v>
      </c>
      <c r="C809" s="34">
        <v>45733</v>
      </c>
      <c r="D809" s="5" t="s">
        <v>307</v>
      </c>
      <c r="E809" s="36">
        <v>14.6</v>
      </c>
      <c r="F809" s="36">
        <f>E809-G809</f>
        <v>0</v>
      </c>
      <c r="G809" s="36">
        <v>14.6</v>
      </c>
      <c r="H809" s="34">
        <v>45734</v>
      </c>
      <c r="I809" s="34"/>
      <c r="J809" s="34">
        <v>45734</v>
      </c>
      <c r="K809" s="34" t="s">
        <v>634</v>
      </c>
      <c r="L809" s="34" t="s">
        <v>298</v>
      </c>
      <c r="Q809" s="35"/>
      <c r="R809" s="43"/>
      <c r="S809" s="35"/>
      <c r="T809" s="33">
        <v>14.6</v>
      </c>
      <c r="U809" s="35"/>
      <c r="V809" s="35"/>
      <c r="W809" s="35"/>
      <c r="X809" s="35"/>
      <c r="Y809" s="35"/>
      <c r="Z809" s="35"/>
    </row>
    <row r="810" spans="2:26" x14ac:dyDescent="0.25">
      <c r="B810" s="5">
        <v>186</v>
      </c>
      <c r="C810" s="34">
        <v>45734</v>
      </c>
      <c r="D810" s="5" t="s">
        <v>185</v>
      </c>
      <c r="E810" s="36">
        <v>276.87</v>
      </c>
      <c r="F810" s="36">
        <f>E810-G810</f>
        <v>0</v>
      </c>
      <c r="G810" s="36">
        <v>276.87</v>
      </c>
      <c r="H810" s="34">
        <v>45736</v>
      </c>
      <c r="I810" s="34"/>
      <c r="J810" s="34">
        <v>45735</v>
      </c>
      <c r="K810" s="34" t="s">
        <v>534</v>
      </c>
      <c r="L810" s="34" t="s">
        <v>298</v>
      </c>
      <c r="Q810" s="35"/>
      <c r="R810" s="43"/>
      <c r="S810" s="33">
        <v>276.87</v>
      </c>
      <c r="T810" s="35"/>
      <c r="U810" s="35"/>
      <c r="V810" s="35"/>
      <c r="W810" s="35"/>
      <c r="X810" s="35"/>
      <c r="Y810" s="35"/>
      <c r="Z810" s="35"/>
    </row>
    <row r="811" spans="2:26" x14ac:dyDescent="0.25">
      <c r="B811" s="5">
        <v>177</v>
      </c>
      <c r="C811" s="34">
        <v>45730</v>
      </c>
      <c r="D811" s="5" t="s">
        <v>23</v>
      </c>
      <c r="E811" s="36">
        <v>62.6</v>
      </c>
      <c r="F811" s="36">
        <f>E811-G811</f>
        <v>0</v>
      </c>
      <c r="G811" s="36">
        <v>62.6</v>
      </c>
      <c r="H811" s="34">
        <v>45737</v>
      </c>
      <c r="I811" s="34"/>
      <c r="J811" s="34">
        <v>45735</v>
      </c>
      <c r="K811" s="5" t="s">
        <v>367</v>
      </c>
      <c r="L811" s="5" t="s">
        <v>298</v>
      </c>
      <c r="Q811" s="35"/>
      <c r="R811" s="36">
        <v>62.6</v>
      </c>
      <c r="S811" s="35"/>
      <c r="T811" s="35"/>
      <c r="U811" s="35"/>
      <c r="V811" s="35"/>
      <c r="W811" s="35"/>
      <c r="X811" s="35"/>
      <c r="Y811" s="35"/>
      <c r="Z811" s="35"/>
    </row>
    <row r="812" spans="2:26" x14ac:dyDescent="0.25">
      <c r="B812" s="5">
        <v>5</v>
      </c>
      <c r="C812" s="34">
        <v>45664</v>
      </c>
      <c r="D812" s="5" t="s">
        <v>314</v>
      </c>
      <c r="E812" s="36">
        <v>22757.7</v>
      </c>
      <c r="F812" s="36">
        <f>E812-G812</f>
        <v>0</v>
      </c>
      <c r="G812" s="36">
        <v>22757.7</v>
      </c>
      <c r="H812" s="34">
        <v>45731</v>
      </c>
      <c r="I812" s="34"/>
      <c r="J812" s="34">
        <v>45735</v>
      </c>
      <c r="K812" s="5" t="s">
        <v>313</v>
      </c>
      <c r="L812" s="5" t="s">
        <v>303</v>
      </c>
      <c r="M812" s="5" t="s">
        <v>350</v>
      </c>
      <c r="Q812" s="35"/>
      <c r="R812" s="40">
        <v>22757.7</v>
      </c>
      <c r="S812" s="35"/>
      <c r="T812" s="35"/>
      <c r="U812" s="35"/>
      <c r="V812" s="35"/>
      <c r="W812" s="35"/>
      <c r="X812" s="35"/>
      <c r="Y812" s="35"/>
      <c r="Z812" s="35"/>
    </row>
    <row r="813" spans="2:26" x14ac:dyDescent="0.25">
      <c r="B813" s="5">
        <v>176</v>
      </c>
      <c r="C813" s="34">
        <v>45730</v>
      </c>
      <c r="D813" s="5" t="s">
        <v>307</v>
      </c>
      <c r="E813" s="36">
        <v>22.88</v>
      </c>
      <c r="F813" s="36">
        <f>E813-G813</f>
        <v>0</v>
      </c>
      <c r="G813" s="36">
        <v>22.88</v>
      </c>
      <c r="H813" s="34">
        <v>45734</v>
      </c>
      <c r="I813" s="34"/>
      <c r="J813" s="34">
        <v>45735</v>
      </c>
      <c r="K813" s="5" t="s">
        <v>367</v>
      </c>
      <c r="L813" s="34" t="s">
        <v>298</v>
      </c>
      <c r="Q813" s="35"/>
      <c r="R813" s="43"/>
      <c r="S813" s="35"/>
      <c r="T813" s="36">
        <v>22.88</v>
      </c>
      <c r="U813" s="35"/>
      <c r="V813" s="35"/>
      <c r="W813" s="35"/>
      <c r="X813" s="35"/>
      <c r="Y813" s="35"/>
      <c r="Z813" s="35"/>
    </row>
    <row r="814" spans="2:26" x14ac:dyDescent="0.25">
      <c r="B814" s="5">
        <v>183</v>
      </c>
      <c r="C814" s="34">
        <v>45733</v>
      </c>
      <c r="D814" s="5" t="s">
        <v>537</v>
      </c>
      <c r="E814" s="36">
        <v>953.55</v>
      </c>
      <c r="F814" s="36">
        <f>E814-G814</f>
        <v>0</v>
      </c>
      <c r="G814" s="36">
        <v>953.55</v>
      </c>
      <c r="H814" s="34">
        <v>45737</v>
      </c>
      <c r="I814" s="34"/>
      <c r="J814" s="34">
        <v>45736</v>
      </c>
      <c r="K814" s="5" t="s">
        <v>367</v>
      </c>
      <c r="L814" s="34" t="s">
        <v>298</v>
      </c>
      <c r="Q814" s="35"/>
      <c r="R814" s="64">
        <v>953.55</v>
      </c>
      <c r="S814" s="35"/>
      <c r="T814" s="35"/>
      <c r="U814" s="35"/>
      <c r="V814" s="35"/>
      <c r="W814" s="35"/>
      <c r="X814" s="35"/>
      <c r="Y814" s="35"/>
      <c r="Z814" s="35"/>
    </row>
    <row r="815" spans="2:26" x14ac:dyDescent="0.25">
      <c r="B815" s="5">
        <v>146</v>
      </c>
      <c r="C815" s="34">
        <v>45721</v>
      </c>
      <c r="D815" s="5" t="s">
        <v>624</v>
      </c>
      <c r="E815" s="36">
        <f>O815*O2</f>
        <v>422.03400000000005</v>
      </c>
      <c r="F815" s="36">
        <f>E815-G815</f>
        <v>4.0000000000759428E-3</v>
      </c>
      <c r="G815" s="36">
        <v>422.03</v>
      </c>
      <c r="H815" s="34">
        <v>45740</v>
      </c>
      <c r="I815" s="34"/>
      <c r="J815" s="34">
        <v>45735</v>
      </c>
      <c r="K815" s="5" t="s">
        <v>367</v>
      </c>
      <c r="L815" s="34" t="s">
        <v>298</v>
      </c>
      <c r="O815" s="88">
        <v>453.8</v>
      </c>
      <c r="Q815" s="87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2:26" x14ac:dyDescent="0.25">
      <c r="B816" s="5">
        <v>172</v>
      </c>
      <c r="C816" s="34">
        <v>45730</v>
      </c>
      <c r="D816" s="5" t="s">
        <v>233</v>
      </c>
      <c r="E816" s="36">
        <v>650.5</v>
      </c>
      <c r="F816" s="36">
        <f>E816-G816</f>
        <v>0</v>
      </c>
      <c r="G816" s="36">
        <v>650.5</v>
      </c>
      <c r="H816" s="34">
        <v>45737</v>
      </c>
      <c r="I816" s="34"/>
      <c r="J816" s="34">
        <v>45737</v>
      </c>
      <c r="K816" s="5" t="s">
        <v>534</v>
      </c>
      <c r="L816" s="34" t="s">
        <v>298</v>
      </c>
      <c r="Q816" s="35"/>
      <c r="R816" s="43"/>
      <c r="S816" s="81">
        <v>650.5</v>
      </c>
      <c r="T816" s="35"/>
      <c r="U816" s="35"/>
      <c r="V816" s="35"/>
      <c r="W816" s="35"/>
      <c r="X816" s="35"/>
      <c r="Y816" s="35"/>
      <c r="Z816" s="35"/>
    </row>
    <row r="817" spans="2:26" x14ac:dyDescent="0.25">
      <c r="B817" s="5">
        <v>708</v>
      </c>
      <c r="C817" s="34">
        <v>45646</v>
      </c>
      <c r="D817" s="5" t="s">
        <v>644</v>
      </c>
      <c r="E817" s="36">
        <v>900</v>
      </c>
      <c r="F817" s="36">
        <f>E817-G817</f>
        <v>0</v>
      </c>
      <c r="G817" s="36">
        <v>900</v>
      </c>
      <c r="H817" s="34">
        <v>45672</v>
      </c>
      <c r="I817" s="34"/>
      <c r="J817" s="34">
        <v>45716</v>
      </c>
      <c r="K817" s="5" t="s">
        <v>643</v>
      </c>
      <c r="L817" s="5" t="s">
        <v>298</v>
      </c>
      <c r="N817" s="45" t="s">
        <v>372</v>
      </c>
      <c r="Q817" s="49">
        <v>900</v>
      </c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2:26" x14ac:dyDescent="0.25">
      <c r="B818" s="5">
        <v>129</v>
      </c>
      <c r="C818" s="34">
        <v>45715</v>
      </c>
      <c r="D818" s="5" t="s">
        <v>371</v>
      </c>
      <c r="E818" s="36">
        <v>722</v>
      </c>
      <c r="F818" s="36">
        <f>E818-G818</f>
        <v>0</v>
      </c>
      <c r="G818" s="36">
        <v>722</v>
      </c>
      <c r="H818" s="34">
        <v>45722</v>
      </c>
      <c r="I818" s="34"/>
      <c r="J818" s="34">
        <v>45716</v>
      </c>
      <c r="K818" s="5" t="s">
        <v>642</v>
      </c>
      <c r="L818" s="5" t="s">
        <v>298</v>
      </c>
      <c r="Q818" s="44"/>
      <c r="R818" s="44"/>
      <c r="S818" s="36">
        <v>722</v>
      </c>
      <c r="T818" s="44"/>
      <c r="U818" s="44"/>
      <c r="V818" s="44"/>
      <c r="W818" s="44"/>
      <c r="X818" s="44"/>
      <c r="Y818" s="44"/>
      <c r="Z818" s="44"/>
    </row>
    <row r="819" spans="2:26" x14ac:dyDescent="0.25">
      <c r="B819" s="5">
        <v>526</v>
      </c>
      <c r="C819" s="34">
        <v>45580</v>
      </c>
      <c r="D819" s="5" t="s">
        <v>631</v>
      </c>
      <c r="E819" s="36">
        <v>25500</v>
      </c>
      <c r="F819" s="36">
        <f>E819-G819</f>
        <v>0</v>
      </c>
      <c r="G819" s="36">
        <v>25500</v>
      </c>
      <c r="H819" s="34">
        <v>45688</v>
      </c>
      <c r="I819" s="34"/>
      <c r="J819" s="34">
        <v>45716</v>
      </c>
      <c r="K819" s="5" t="s">
        <v>598</v>
      </c>
      <c r="L819" s="5" t="s">
        <v>298</v>
      </c>
      <c r="N819" s="45"/>
      <c r="Q819" s="36">
        <v>25500</v>
      </c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2:26" x14ac:dyDescent="0.25">
      <c r="B820" s="5">
        <v>153</v>
      </c>
      <c r="C820" s="34">
        <v>45726</v>
      </c>
      <c r="D820" s="5" t="s">
        <v>641</v>
      </c>
      <c r="E820" s="33">
        <v>462.5</v>
      </c>
      <c r="F820" s="33">
        <f>E820-G820</f>
        <v>0</v>
      </c>
      <c r="G820" s="33">
        <v>462.5</v>
      </c>
      <c r="H820" s="34">
        <v>45747</v>
      </c>
      <c r="I820" s="34"/>
      <c r="J820" s="34">
        <v>45740</v>
      </c>
      <c r="K820" s="5" t="s">
        <v>367</v>
      </c>
      <c r="L820" s="34" t="s">
        <v>298</v>
      </c>
      <c r="Q820" s="44"/>
      <c r="R820" s="33">
        <v>462.5</v>
      </c>
      <c r="S820" s="44"/>
      <c r="T820" s="44"/>
      <c r="U820" s="44"/>
      <c r="V820" s="44"/>
      <c r="W820" s="44"/>
      <c r="X820" s="44"/>
      <c r="Y820" s="44"/>
      <c r="Z820" s="44"/>
    </row>
    <row r="821" spans="2:26" x14ac:dyDescent="0.25">
      <c r="B821" s="5">
        <v>190</v>
      </c>
      <c r="C821" s="34">
        <v>45736</v>
      </c>
      <c r="D821" s="5" t="s">
        <v>23</v>
      </c>
      <c r="E821" s="33">
        <v>167.75</v>
      </c>
      <c r="F821" s="33">
        <f>E821-G821</f>
        <v>0</v>
      </c>
      <c r="G821" s="33">
        <v>167.75</v>
      </c>
      <c r="H821" s="34">
        <v>45740</v>
      </c>
      <c r="I821" s="34"/>
      <c r="J821" s="34">
        <v>45740</v>
      </c>
      <c r="K821" s="34" t="s">
        <v>367</v>
      </c>
      <c r="L821" s="34" t="s">
        <v>298</v>
      </c>
      <c r="Q821" s="35"/>
      <c r="R821" s="33">
        <v>167.75</v>
      </c>
      <c r="S821" s="41"/>
      <c r="T821" s="35"/>
      <c r="U821" s="35"/>
      <c r="V821" s="35"/>
      <c r="W821" s="35"/>
      <c r="X821" s="35"/>
      <c r="Y821" s="35"/>
      <c r="Z821" s="35"/>
    </row>
    <row r="822" spans="2:26" x14ac:dyDescent="0.25">
      <c r="B822" s="5">
        <v>149</v>
      </c>
      <c r="C822" s="34">
        <v>45723</v>
      </c>
      <c r="D822" s="5" t="s">
        <v>184</v>
      </c>
      <c r="E822" s="33">
        <v>234</v>
      </c>
      <c r="F822" s="33">
        <f>E822-G822</f>
        <v>0</v>
      </c>
      <c r="G822" s="33">
        <v>234</v>
      </c>
      <c r="H822" s="34">
        <v>45747</v>
      </c>
      <c r="I822" s="34"/>
      <c r="J822" s="34">
        <v>45741</v>
      </c>
      <c r="K822" s="5" t="s">
        <v>640</v>
      </c>
      <c r="L822" s="5" t="s">
        <v>298</v>
      </c>
      <c r="Q822" s="86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2:26" x14ac:dyDescent="0.25">
      <c r="B823" s="5">
        <v>107</v>
      </c>
      <c r="C823" s="34">
        <v>45705</v>
      </c>
      <c r="D823" s="5" t="s">
        <v>540</v>
      </c>
      <c r="E823" s="33">
        <v>1950.06</v>
      </c>
      <c r="F823" s="33">
        <f>E823-G823</f>
        <v>0</v>
      </c>
      <c r="G823" s="33">
        <v>1950.06</v>
      </c>
      <c r="H823" s="34">
        <v>45747</v>
      </c>
      <c r="I823" s="34"/>
      <c r="J823" s="34">
        <v>45741</v>
      </c>
      <c r="K823" s="5" t="s">
        <v>445</v>
      </c>
      <c r="L823" s="5" t="s">
        <v>298</v>
      </c>
      <c r="Q823" s="35"/>
      <c r="R823" s="36">
        <v>1950.06</v>
      </c>
      <c r="S823" s="41"/>
      <c r="T823" s="35"/>
      <c r="U823" s="35"/>
      <c r="V823" s="35"/>
      <c r="W823" s="35"/>
      <c r="X823" s="35"/>
      <c r="Y823" s="35"/>
      <c r="Z823" s="44"/>
    </row>
    <row r="824" spans="2:26" x14ac:dyDescent="0.25">
      <c r="B824" s="5">
        <v>166</v>
      </c>
      <c r="C824" s="34">
        <v>45729</v>
      </c>
      <c r="D824" s="5" t="s">
        <v>639</v>
      </c>
      <c r="E824" s="33">
        <v>4620</v>
      </c>
      <c r="F824" s="33">
        <f>E824-G824</f>
        <v>0</v>
      </c>
      <c r="G824" s="33">
        <v>4620</v>
      </c>
      <c r="H824" s="34">
        <v>45736</v>
      </c>
      <c r="I824" s="34"/>
      <c r="J824" s="34">
        <v>45741</v>
      </c>
      <c r="K824" s="5" t="s">
        <v>367</v>
      </c>
      <c r="L824" s="5" t="s">
        <v>298</v>
      </c>
      <c r="N824" s="5" t="s">
        <v>638</v>
      </c>
      <c r="Q824" s="85"/>
      <c r="R824" s="64">
        <v>2310</v>
      </c>
      <c r="S824" s="83"/>
      <c r="T824" s="35"/>
      <c r="U824" s="35"/>
      <c r="V824" s="35"/>
      <c r="W824" s="35"/>
      <c r="X824" s="35"/>
      <c r="Y824" s="35"/>
      <c r="Z824" s="35"/>
    </row>
    <row r="825" spans="2:26" x14ac:dyDescent="0.25">
      <c r="B825" s="5">
        <v>200</v>
      </c>
      <c r="C825" s="34">
        <v>45740</v>
      </c>
      <c r="D825" s="5" t="s">
        <v>307</v>
      </c>
      <c r="E825" s="33">
        <v>11.05</v>
      </c>
      <c r="F825" s="33">
        <f>E825-G825</f>
        <v>0</v>
      </c>
      <c r="G825" s="33">
        <v>11.05</v>
      </c>
      <c r="H825" s="34">
        <v>45742</v>
      </c>
      <c r="I825" s="34"/>
      <c r="J825" s="34">
        <v>45741</v>
      </c>
      <c r="K825" s="34" t="s">
        <v>634</v>
      </c>
      <c r="L825" s="34" t="s">
        <v>298</v>
      </c>
      <c r="Q825" s="35"/>
      <c r="R825" s="43"/>
      <c r="S825" s="41"/>
      <c r="T825" s="33">
        <v>11.05</v>
      </c>
      <c r="U825" s="35"/>
      <c r="V825" s="35"/>
      <c r="W825" s="35"/>
      <c r="X825" s="35"/>
      <c r="Y825" s="35"/>
      <c r="Z825" s="35"/>
    </row>
    <row r="826" spans="2:26" x14ac:dyDescent="0.25">
      <c r="B826" s="5">
        <v>196</v>
      </c>
      <c r="C826" s="34">
        <v>45740</v>
      </c>
      <c r="D826" s="5" t="s">
        <v>307</v>
      </c>
      <c r="E826" s="33">
        <v>72.099999999999994</v>
      </c>
      <c r="F826" s="33">
        <f>E826-G826</f>
        <v>0</v>
      </c>
      <c r="G826" s="33">
        <v>72.099999999999994</v>
      </c>
      <c r="H826" s="34">
        <v>45742</v>
      </c>
      <c r="I826" s="34"/>
      <c r="J826" s="34">
        <v>45741</v>
      </c>
      <c r="K826" s="34" t="s">
        <v>601</v>
      </c>
      <c r="L826" s="34" t="s">
        <v>298</v>
      </c>
      <c r="Q826" s="35"/>
      <c r="R826" s="43"/>
      <c r="S826" s="41"/>
      <c r="T826" s="33">
        <v>72.099999999999994</v>
      </c>
      <c r="U826" s="35"/>
      <c r="V826" s="35"/>
      <c r="W826" s="35"/>
      <c r="X826" s="35"/>
      <c r="Y826" s="35"/>
      <c r="Z826" s="35"/>
    </row>
    <row r="827" spans="2:26" x14ac:dyDescent="0.25">
      <c r="B827" s="5">
        <v>531</v>
      </c>
      <c r="C827" s="34">
        <v>45582</v>
      </c>
      <c r="D827" s="5" t="s">
        <v>540</v>
      </c>
      <c r="E827" s="36">
        <v>55860</v>
      </c>
      <c r="F827" s="36">
        <f>E827-G827</f>
        <v>0</v>
      </c>
      <c r="G827" s="36">
        <v>55860</v>
      </c>
      <c r="H827" s="34">
        <v>45644</v>
      </c>
      <c r="I827" s="34"/>
      <c r="J827" s="34">
        <v>45741</v>
      </c>
      <c r="K827" s="5" t="s">
        <v>445</v>
      </c>
      <c r="L827" s="5" t="s">
        <v>303</v>
      </c>
      <c r="M827" s="5" t="s">
        <v>308</v>
      </c>
      <c r="N827" s="45" t="s">
        <v>637</v>
      </c>
      <c r="Q827" s="35"/>
      <c r="R827" s="40">
        <v>47918</v>
      </c>
      <c r="S827" s="41"/>
      <c r="T827" s="35"/>
      <c r="U827" s="35"/>
      <c r="V827" s="35"/>
      <c r="W827" s="35"/>
      <c r="X827" s="35"/>
      <c r="Y827" s="35"/>
      <c r="Z827" s="35"/>
    </row>
    <row r="828" spans="2:26" x14ac:dyDescent="0.25">
      <c r="B828" s="5">
        <v>180</v>
      </c>
      <c r="C828" s="34">
        <v>45730</v>
      </c>
      <c r="D828" s="5" t="s">
        <v>331</v>
      </c>
      <c r="E828" s="33">
        <v>1469.8</v>
      </c>
      <c r="F828" s="33">
        <f>E828-G828</f>
        <v>0</v>
      </c>
      <c r="G828" s="33">
        <v>1469.8</v>
      </c>
      <c r="H828" s="34">
        <v>45737</v>
      </c>
      <c r="I828" s="34"/>
      <c r="J828" s="34">
        <v>45742</v>
      </c>
      <c r="K828" s="34" t="s">
        <v>367</v>
      </c>
      <c r="L828" s="5" t="s">
        <v>298</v>
      </c>
      <c r="Q828" s="44"/>
      <c r="R828" s="33">
        <v>1469.8</v>
      </c>
      <c r="S828" s="44"/>
      <c r="T828" s="44"/>
      <c r="U828" s="44"/>
      <c r="V828" s="44"/>
      <c r="W828" s="44"/>
      <c r="X828" s="44"/>
      <c r="Y828" s="44"/>
      <c r="Z828" s="44"/>
    </row>
    <row r="829" spans="2:26" x14ac:dyDescent="0.25">
      <c r="B829" s="5">
        <v>197</v>
      </c>
      <c r="C829" s="34">
        <v>45740</v>
      </c>
      <c r="D829" s="5" t="s">
        <v>23</v>
      </c>
      <c r="E829" s="33">
        <v>183</v>
      </c>
      <c r="F829" s="33">
        <f>E829-G829</f>
        <v>0</v>
      </c>
      <c r="G829" s="33">
        <v>183</v>
      </c>
      <c r="H829" s="34">
        <v>45744</v>
      </c>
      <c r="I829" s="34"/>
      <c r="J829" s="34">
        <v>45742</v>
      </c>
      <c r="K829" s="34" t="s">
        <v>367</v>
      </c>
      <c r="L829" s="5" t="s">
        <v>298</v>
      </c>
      <c r="Q829" s="41"/>
      <c r="R829" s="33">
        <v>183</v>
      </c>
      <c r="S829" s="41"/>
      <c r="T829" s="35"/>
      <c r="U829" s="35"/>
      <c r="V829" s="35"/>
      <c r="W829" s="35"/>
      <c r="X829" s="35"/>
      <c r="Y829" s="35"/>
      <c r="Z829" s="35"/>
    </row>
    <row r="830" spans="2:26" x14ac:dyDescent="0.25">
      <c r="B830" s="5">
        <v>185</v>
      </c>
      <c r="C830" s="34">
        <v>45733</v>
      </c>
      <c r="D830" s="5" t="s">
        <v>371</v>
      </c>
      <c r="E830" s="33">
        <v>599</v>
      </c>
      <c r="F830" s="33">
        <f>E830-G830</f>
        <v>0</v>
      </c>
      <c r="G830" s="33">
        <v>599</v>
      </c>
      <c r="H830" s="34">
        <v>45744</v>
      </c>
      <c r="I830" s="34"/>
      <c r="J830" s="34">
        <v>45743</v>
      </c>
      <c r="K830" s="34" t="s">
        <v>348</v>
      </c>
      <c r="L830" s="34" t="s">
        <v>298</v>
      </c>
      <c r="Q830" s="41"/>
      <c r="R830" s="43"/>
      <c r="S830" s="41"/>
      <c r="T830" s="33">
        <v>599</v>
      </c>
      <c r="U830" s="35"/>
      <c r="V830" s="35"/>
      <c r="W830" s="35"/>
      <c r="X830" s="35"/>
      <c r="Y830" s="35"/>
      <c r="Z830" s="35"/>
    </row>
    <row r="831" spans="2:26" x14ac:dyDescent="0.25">
      <c r="B831" s="5">
        <v>203</v>
      </c>
      <c r="C831" s="34">
        <v>45740</v>
      </c>
      <c r="D831" s="5" t="s">
        <v>328</v>
      </c>
      <c r="E831" s="33">
        <v>204.46</v>
      </c>
      <c r="F831" s="33">
        <f>E831-G831</f>
        <v>0</v>
      </c>
      <c r="G831" s="33">
        <v>204.46</v>
      </c>
      <c r="H831" s="34">
        <v>45742</v>
      </c>
      <c r="I831" s="34"/>
      <c r="J831" s="34">
        <v>45742</v>
      </c>
      <c r="K831" s="34" t="s">
        <v>534</v>
      </c>
      <c r="L831" s="34" t="s">
        <v>298</v>
      </c>
      <c r="Q831" s="41"/>
      <c r="R831" s="33">
        <v>204.46</v>
      </c>
      <c r="S831" s="41"/>
      <c r="T831" s="35"/>
      <c r="U831" s="35"/>
      <c r="V831" s="35"/>
      <c r="W831" s="35"/>
      <c r="X831" s="35"/>
      <c r="Y831" s="35"/>
      <c r="Z831" s="35"/>
    </row>
    <row r="832" spans="2:26" x14ac:dyDescent="0.25">
      <c r="B832" s="5">
        <v>114</v>
      </c>
      <c r="C832" s="34">
        <v>45707</v>
      </c>
      <c r="D832" s="5" t="s">
        <v>636</v>
      </c>
      <c r="E832" s="36">
        <v>1200</v>
      </c>
      <c r="F832" s="36">
        <f>E832-G832</f>
        <v>0</v>
      </c>
      <c r="G832" s="36">
        <v>1200</v>
      </c>
      <c r="H832" s="34">
        <v>45712</v>
      </c>
      <c r="I832" s="34"/>
      <c r="J832" s="34">
        <v>45736</v>
      </c>
      <c r="K832" s="5" t="s">
        <v>354</v>
      </c>
      <c r="L832" s="5" t="s">
        <v>298</v>
      </c>
      <c r="Q832" s="41"/>
      <c r="R832" s="43"/>
      <c r="S832" s="81">
        <v>1200</v>
      </c>
      <c r="T832" s="35"/>
      <c r="U832" s="35"/>
      <c r="V832" s="35"/>
      <c r="W832" s="35"/>
      <c r="X832" s="35"/>
      <c r="Y832" s="35"/>
      <c r="Z832" s="35"/>
    </row>
    <row r="833" spans="2:27" x14ac:dyDescent="0.25">
      <c r="B833" s="5">
        <v>137</v>
      </c>
      <c r="C833" s="34">
        <v>45719</v>
      </c>
      <c r="D833" s="5" t="s">
        <v>470</v>
      </c>
      <c r="E833" s="33">
        <v>2600</v>
      </c>
      <c r="F833" s="33">
        <f>E833-G833</f>
        <v>0</v>
      </c>
      <c r="G833" s="33">
        <v>2600</v>
      </c>
      <c r="H833" s="34">
        <v>45747</v>
      </c>
      <c r="I833" s="34"/>
      <c r="J833" s="34">
        <v>45747</v>
      </c>
      <c r="K833" s="5" t="s">
        <v>313</v>
      </c>
      <c r="L833" s="5" t="s">
        <v>298</v>
      </c>
      <c r="Q833" s="41"/>
      <c r="R833" s="36">
        <v>2600</v>
      </c>
      <c r="S833" s="41"/>
      <c r="T833" s="35"/>
      <c r="U833" s="35"/>
      <c r="V833" s="35"/>
      <c r="W833" s="35"/>
      <c r="X833" s="35"/>
      <c r="Y833" s="35"/>
      <c r="Z833" s="35"/>
    </row>
    <row r="834" spans="2:27" x14ac:dyDescent="0.25">
      <c r="B834" s="5">
        <v>144</v>
      </c>
      <c r="C834" s="34">
        <v>45721</v>
      </c>
      <c r="D834" s="5" t="s">
        <v>231</v>
      </c>
      <c r="E834" s="33">
        <v>3325.14</v>
      </c>
      <c r="F834" s="33">
        <f>E834-G834</f>
        <v>0</v>
      </c>
      <c r="G834" s="33">
        <v>3325.14</v>
      </c>
      <c r="H834" s="34">
        <v>45744</v>
      </c>
      <c r="I834" s="34"/>
      <c r="J834" s="34">
        <v>45744</v>
      </c>
      <c r="K834" s="5" t="s">
        <v>367</v>
      </c>
      <c r="L834" s="5" t="s">
        <v>309</v>
      </c>
      <c r="Q834" s="41"/>
      <c r="R834" s="36">
        <v>3778.11</v>
      </c>
      <c r="S834" s="41"/>
      <c r="T834" s="35"/>
      <c r="U834" s="35"/>
      <c r="V834" s="35"/>
      <c r="W834" s="35"/>
      <c r="X834" s="35"/>
      <c r="Y834" s="35"/>
      <c r="Z834" s="35"/>
    </row>
    <row r="835" spans="2:27" x14ac:dyDescent="0.25">
      <c r="B835" s="5">
        <v>198</v>
      </c>
      <c r="C835" s="34">
        <v>45740</v>
      </c>
      <c r="D835" s="5" t="s">
        <v>328</v>
      </c>
      <c r="E835" s="36">
        <v>84.18</v>
      </c>
      <c r="F835" s="36">
        <f>E835-G835</f>
        <v>0</v>
      </c>
      <c r="G835" s="36">
        <v>84.18</v>
      </c>
      <c r="H835" s="34">
        <v>45744</v>
      </c>
      <c r="I835" s="34"/>
      <c r="J835" s="34">
        <v>45744</v>
      </c>
      <c r="K835" s="34" t="s">
        <v>601</v>
      </c>
      <c r="L835" s="34" t="s">
        <v>298</v>
      </c>
      <c r="Q835" s="41"/>
      <c r="R835" s="33">
        <v>84.18</v>
      </c>
      <c r="S835" s="41"/>
      <c r="T835" s="35"/>
      <c r="U835" s="35"/>
      <c r="V835" s="35"/>
      <c r="W835" s="35"/>
      <c r="X835" s="35"/>
      <c r="Y835" s="35"/>
      <c r="Z835" s="35"/>
    </row>
    <row r="836" spans="2:27" x14ac:dyDescent="0.25">
      <c r="B836" s="5">
        <v>51</v>
      </c>
      <c r="C836" s="34">
        <v>45680</v>
      </c>
      <c r="D836" s="5" t="s">
        <v>180</v>
      </c>
      <c r="E836" s="36">
        <v>25780.48</v>
      </c>
      <c r="F836" s="36">
        <f>E836-G836</f>
        <v>0</v>
      </c>
      <c r="G836" s="36">
        <v>25780.48</v>
      </c>
      <c r="H836" s="34">
        <v>45729</v>
      </c>
      <c r="I836" s="34"/>
      <c r="J836" s="34">
        <v>45747</v>
      </c>
      <c r="K836" s="5" t="s">
        <v>616</v>
      </c>
      <c r="L836" s="5" t="s">
        <v>309</v>
      </c>
      <c r="M836" s="5" t="s">
        <v>350</v>
      </c>
      <c r="N836" s="45" t="s">
        <v>635</v>
      </c>
      <c r="Q836" s="41"/>
      <c r="R836" s="40">
        <v>150</v>
      </c>
      <c r="S836" s="41"/>
      <c r="T836" s="35"/>
      <c r="U836" s="35"/>
      <c r="V836" s="35"/>
      <c r="W836" s="35"/>
      <c r="X836" s="35"/>
      <c r="Y836" s="35"/>
      <c r="Z836" s="35"/>
      <c r="AA836" s="5"/>
    </row>
    <row r="837" spans="2:27" x14ac:dyDescent="0.25">
      <c r="B837" s="5">
        <v>221</v>
      </c>
      <c r="C837" s="34">
        <v>45744</v>
      </c>
      <c r="D837" s="5" t="s">
        <v>307</v>
      </c>
      <c r="E837" s="36">
        <v>11.05</v>
      </c>
      <c r="F837" s="36">
        <f>E837-G837</f>
        <v>0</v>
      </c>
      <c r="G837" s="36">
        <v>11.05</v>
      </c>
      <c r="H837" s="34">
        <v>45748</v>
      </c>
      <c r="I837" s="34"/>
      <c r="J837" s="34">
        <v>45747</v>
      </c>
      <c r="K837" s="34" t="s">
        <v>634</v>
      </c>
      <c r="L837" s="34" t="s">
        <v>298</v>
      </c>
      <c r="Q837" s="41"/>
      <c r="R837" s="43"/>
      <c r="S837" s="41"/>
      <c r="T837" s="33">
        <v>11.05</v>
      </c>
      <c r="U837" s="35"/>
      <c r="V837" s="35"/>
      <c r="W837" s="35"/>
      <c r="X837" s="35"/>
      <c r="Y837" s="35"/>
      <c r="Z837" s="35"/>
    </row>
    <row r="838" spans="2:27" x14ac:dyDescent="0.25">
      <c r="B838" s="5">
        <v>170</v>
      </c>
      <c r="C838" s="34">
        <v>45730</v>
      </c>
      <c r="D838" s="5" t="s">
        <v>357</v>
      </c>
      <c r="E838" s="36">
        <v>77.3</v>
      </c>
      <c r="F838" s="36">
        <f>E838-G838</f>
        <v>0</v>
      </c>
      <c r="G838" s="36">
        <v>77.3</v>
      </c>
      <c r="H838" s="34">
        <v>45737</v>
      </c>
      <c r="I838" s="34"/>
      <c r="J838" s="34">
        <v>45747</v>
      </c>
      <c r="K838" s="5" t="s">
        <v>367</v>
      </c>
      <c r="L838" s="34" t="s">
        <v>298</v>
      </c>
      <c r="Q838" s="41"/>
      <c r="R838" s="43"/>
      <c r="S838" s="51">
        <v>77.3</v>
      </c>
      <c r="T838" s="35"/>
      <c r="U838" s="35"/>
      <c r="V838" s="35"/>
      <c r="W838" s="35"/>
      <c r="X838" s="35"/>
      <c r="Y838" s="35"/>
      <c r="Z838" s="35"/>
    </row>
    <row r="839" spans="2:27" x14ac:dyDescent="0.25">
      <c r="B839" s="5">
        <v>211</v>
      </c>
      <c r="C839" s="34">
        <v>45743</v>
      </c>
      <c r="D839" s="5" t="s">
        <v>23</v>
      </c>
      <c r="E839" s="33">
        <v>522.21</v>
      </c>
      <c r="F839" s="33">
        <f>E839-G839</f>
        <v>0</v>
      </c>
      <c r="G839" s="33">
        <v>522.21</v>
      </c>
      <c r="H839" s="34">
        <v>45747</v>
      </c>
      <c r="I839" s="34"/>
      <c r="J839" s="34">
        <v>45747</v>
      </c>
      <c r="K839" s="34" t="s">
        <v>620</v>
      </c>
      <c r="L839" s="34" t="s">
        <v>298</v>
      </c>
      <c r="Q839" s="41"/>
      <c r="R839" s="33">
        <v>522.21</v>
      </c>
      <c r="S839" s="41"/>
      <c r="T839" s="35"/>
      <c r="U839" s="35"/>
      <c r="V839" s="35"/>
      <c r="W839" s="35"/>
      <c r="X839" s="35"/>
      <c r="Y839" s="35"/>
      <c r="Z839" s="35"/>
    </row>
    <row r="840" spans="2:27" x14ac:dyDescent="0.25">
      <c r="B840" s="5">
        <v>217</v>
      </c>
      <c r="C840" s="34">
        <v>45743</v>
      </c>
      <c r="D840" s="5" t="s">
        <v>23</v>
      </c>
      <c r="E840" s="36">
        <v>199.16</v>
      </c>
      <c r="F840" s="36">
        <f>E840-G840</f>
        <v>0</v>
      </c>
      <c r="G840" s="36">
        <v>199.16</v>
      </c>
      <c r="H840" s="34">
        <v>45382</v>
      </c>
      <c r="I840" s="34"/>
      <c r="J840" s="34">
        <v>45747</v>
      </c>
      <c r="K840" s="34" t="s">
        <v>313</v>
      </c>
      <c r="L840" s="34" t="s">
        <v>298</v>
      </c>
      <c r="Q840" s="41"/>
      <c r="R840" s="33">
        <v>199.16</v>
      </c>
      <c r="S840" s="41"/>
      <c r="T840" s="35"/>
      <c r="U840" s="35"/>
      <c r="V840" s="35"/>
      <c r="W840" s="35"/>
      <c r="X840" s="35"/>
      <c r="Y840" s="35"/>
      <c r="Z840" s="35"/>
    </row>
    <row r="841" spans="2:27" x14ac:dyDescent="0.25">
      <c r="B841" s="5">
        <v>222</v>
      </c>
      <c r="C841" s="34">
        <v>45744</v>
      </c>
      <c r="D841" s="5" t="s">
        <v>23</v>
      </c>
      <c r="E841" s="36">
        <v>45.9</v>
      </c>
      <c r="F841" s="36">
        <f>E841-G841</f>
        <v>0</v>
      </c>
      <c r="G841" s="36">
        <v>45.9</v>
      </c>
      <c r="H841" s="34">
        <v>45748</v>
      </c>
      <c r="I841" s="34"/>
      <c r="J841" s="34">
        <v>45747</v>
      </c>
      <c r="K841" s="34" t="s">
        <v>634</v>
      </c>
      <c r="L841" s="34" t="s">
        <v>298</v>
      </c>
      <c r="Q841" s="41"/>
      <c r="R841" s="33">
        <v>45.9</v>
      </c>
      <c r="S841" s="44"/>
      <c r="T841" s="35"/>
      <c r="U841" s="35"/>
      <c r="V841" s="35"/>
      <c r="W841" s="35"/>
      <c r="X841" s="35"/>
      <c r="Y841" s="35"/>
      <c r="Z841" s="35"/>
    </row>
    <row r="842" spans="2:27" x14ac:dyDescent="0.25">
      <c r="B842" s="5">
        <v>195</v>
      </c>
      <c r="C842" s="34">
        <v>45740</v>
      </c>
      <c r="D842" s="5" t="s">
        <v>402</v>
      </c>
      <c r="E842" s="36">
        <v>780</v>
      </c>
      <c r="F842" s="36">
        <f>E842-G842</f>
        <v>0</v>
      </c>
      <c r="G842" s="36">
        <v>780</v>
      </c>
      <c r="H842" s="34">
        <v>45747</v>
      </c>
      <c r="I842" s="34"/>
      <c r="J842" s="34">
        <v>45748</v>
      </c>
      <c r="K842" s="34" t="s">
        <v>367</v>
      </c>
      <c r="L842" s="5" t="s">
        <v>309</v>
      </c>
      <c r="M842" s="5" t="s">
        <v>350</v>
      </c>
      <c r="N842" s="34"/>
      <c r="Q842" s="41"/>
      <c r="R842" s="43"/>
      <c r="S842" s="33">
        <v>780</v>
      </c>
      <c r="T842" s="35"/>
      <c r="U842" s="35"/>
      <c r="V842" s="35"/>
      <c r="W842" s="35"/>
      <c r="X842" s="35"/>
      <c r="Y842" s="35"/>
      <c r="Z842" s="35"/>
    </row>
    <row r="843" spans="2:27" x14ac:dyDescent="0.25">
      <c r="B843" s="5">
        <v>213</v>
      </c>
      <c r="C843" s="34">
        <v>45743</v>
      </c>
      <c r="D843" s="5" t="s">
        <v>491</v>
      </c>
      <c r="E843" s="33">
        <v>95.52</v>
      </c>
      <c r="F843" s="33">
        <f>E843-G843</f>
        <v>0</v>
      </c>
      <c r="G843" s="33">
        <v>95.52</v>
      </c>
      <c r="H843" s="34">
        <v>45382</v>
      </c>
      <c r="I843" s="34"/>
      <c r="J843" s="34">
        <v>45748</v>
      </c>
      <c r="K843" s="34" t="s">
        <v>607</v>
      </c>
      <c r="L843" s="34" t="s">
        <v>298</v>
      </c>
      <c r="Q843" s="41"/>
      <c r="R843" s="54"/>
      <c r="S843" s="33">
        <v>95.52</v>
      </c>
      <c r="T843" s="35"/>
      <c r="U843" s="35"/>
      <c r="V843" s="35"/>
      <c r="W843" s="35"/>
      <c r="X843" s="35"/>
      <c r="Y843" s="35"/>
      <c r="Z843" s="35"/>
    </row>
    <row r="844" spans="2:27" x14ac:dyDescent="0.25">
      <c r="B844" s="5">
        <v>227</v>
      </c>
      <c r="C844" s="34">
        <v>45747</v>
      </c>
      <c r="D844" s="5" t="s">
        <v>375</v>
      </c>
      <c r="E844" s="36">
        <v>87.92</v>
      </c>
      <c r="F844" s="36">
        <f>E844-G844</f>
        <v>0</v>
      </c>
      <c r="G844" s="36">
        <v>87.92</v>
      </c>
      <c r="H844" s="34">
        <v>45748</v>
      </c>
      <c r="I844" s="34"/>
      <c r="J844" s="34">
        <v>45748</v>
      </c>
      <c r="K844" s="34" t="s">
        <v>633</v>
      </c>
      <c r="L844" s="34" t="s">
        <v>298</v>
      </c>
      <c r="Q844" s="41"/>
      <c r="R844" s="33">
        <v>87.92</v>
      </c>
      <c r="S844" s="41"/>
      <c r="T844" s="35"/>
      <c r="U844" s="35"/>
      <c r="V844" s="35"/>
      <c r="W844" s="35"/>
      <c r="X844" s="35"/>
      <c r="Y844" s="35"/>
      <c r="Z844" s="35"/>
    </row>
    <row r="845" spans="2:27" x14ac:dyDescent="0.25">
      <c r="B845" s="5">
        <v>226</v>
      </c>
      <c r="C845" s="34">
        <v>45747</v>
      </c>
      <c r="D845" s="5" t="s">
        <v>307</v>
      </c>
      <c r="E845" s="36">
        <v>270.04000000000002</v>
      </c>
      <c r="F845" s="36">
        <f>E845-G845</f>
        <v>0</v>
      </c>
      <c r="G845" s="36">
        <v>270.04000000000002</v>
      </c>
      <c r="H845" s="34">
        <v>45751</v>
      </c>
      <c r="I845" s="34"/>
      <c r="J845" s="34">
        <v>45748</v>
      </c>
      <c r="K845" s="34" t="s">
        <v>543</v>
      </c>
      <c r="L845" s="34" t="s">
        <v>298</v>
      </c>
      <c r="Q845" s="41"/>
      <c r="R845" s="43"/>
      <c r="S845" s="41"/>
      <c r="T845" s="35"/>
      <c r="U845" s="33">
        <v>270.04000000000002</v>
      </c>
      <c r="V845" s="35"/>
      <c r="W845" s="35"/>
      <c r="X845" s="35"/>
      <c r="Y845" s="35"/>
      <c r="Z845" s="35"/>
    </row>
    <row r="846" spans="2:27" x14ac:dyDescent="0.25">
      <c r="B846" s="5">
        <v>230</v>
      </c>
      <c r="C846" s="34">
        <v>45747</v>
      </c>
      <c r="D846" s="5" t="s">
        <v>307</v>
      </c>
      <c r="E846" s="36">
        <v>16.87</v>
      </c>
      <c r="F846" s="36">
        <f>E846-G846</f>
        <v>0</v>
      </c>
      <c r="G846" s="36">
        <v>16.87</v>
      </c>
      <c r="H846" s="34">
        <v>45748</v>
      </c>
      <c r="I846" s="34"/>
      <c r="J846" s="34">
        <v>45748</v>
      </c>
      <c r="K846" s="34" t="s">
        <v>543</v>
      </c>
      <c r="L846" s="34" t="s">
        <v>298</v>
      </c>
      <c r="Q846" s="41"/>
      <c r="R846" s="43"/>
      <c r="S846" s="41"/>
      <c r="T846" s="35"/>
      <c r="U846" s="33">
        <v>16.87</v>
      </c>
      <c r="V846" s="35"/>
      <c r="W846" s="35"/>
      <c r="X846" s="35"/>
      <c r="Y846" s="35"/>
      <c r="Z846" s="35"/>
    </row>
    <row r="847" spans="2:27" x14ac:dyDescent="0.25">
      <c r="B847" s="5">
        <v>201</v>
      </c>
      <c r="C847" s="34">
        <v>45740</v>
      </c>
      <c r="D847" s="5" t="s">
        <v>300</v>
      </c>
      <c r="E847" s="36">
        <v>297</v>
      </c>
      <c r="F847" s="36">
        <f>E847-G847</f>
        <v>0</v>
      </c>
      <c r="G847" s="36">
        <v>297</v>
      </c>
      <c r="H847" s="34">
        <v>45747</v>
      </c>
      <c r="I847" s="34"/>
      <c r="J847" s="34">
        <v>45748</v>
      </c>
      <c r="K847" s="34" t="s">
        <v>571</v>
      </c>
      <c r="L847" s="34" t="s">
        <v>298</v>
      </c>
      <c r="Q847" s="41"/>
      <c r="R847" s="43"/>
      <c r="S847" s="33">
        <v>297</v>
      </c>
      <c r="T847" s="35"/>
      <c r="U847" s="35"/>
      <c r="V847" s="35"/>
      <c r="W847" s="35"/>
      <c r="X847" s="35"/>
      <c r="Y847" s="35"/>
      <c r="Z847" s="35"/>
    </row>
    <row r="848" spans="2:27" x14ac:dyDescent="0.25">
      <c r="B848" s="5">
        <v>206</v>
      </c>
      <c r="C848" s="34">
        <v>45741</v>
      </c>
      <c r="D848" s="5" t="s">
        <v>300</v>
      </c>
      <c r="E848" s="36">
        <v>412.2</v>
      </c>
      <c r="F848" s="36">
        <f>E848-G848</f>
        <v>0</v>
      </c>
      <c r="G848" s="36">
        <v>412.2</v>
      </c>
      <c r="H848" s="34">
        <v>45750</v>
      </c>
      <c r="I848" s="34"/>
      <c r="J848" s="34">
        <v>45748</v>
      </c>
      <c r="K848" s="34" t="s">
        <v>313</v>
      </c>
      <c r="L848" s="34" t="s">
        <v>298</v>
      </c>
      <c r="Q848" s="41"/>
      <c r="R848" s="43"/>
      <c r="S848" s="33">
        <v>412.2</v>
      </c>
      <c r="T848" s="35"/>
      <c r="U848" s="35"/>
      <c r="V848" s="35"/>
      <c r="W848" s="35"/>
      <c r="X848" s="35"/>
      <c r="Y848" s="35"/>
      <c r="Z848" s="35"/>
    </row>
    <row r="849" spans="2:26" x14ac:dyDescent="0.25">
      <c r="B849" s="5">
        <v>202</v>
      </c>
      <c r="C849" s="34">
        <v>45740</v>
      </c>
      <c r="D849" s="5" t="s">
        <v>300</v>
      </c>
      <c r="E849" s="36">
        <v>115.8</v>
      </c>
      <c r="F849" s="36">
        <f>E849-G849</f>
        <v>0</v>
      </c>
      <c r="G849" s="36">
        <v>115.8</v>
      </c>
      <c r="H849" s="34">
        <v>45747</v>
      </c>
      <c r="I849" s="34"/>
      <c r="J849" s="34">
        <v>45748</v>
      </c>
      <c r="K849" s="34" t="s">
        <v>585</v>
      </c>
      <c r="L849" s="34" t="s">
        <v>298</v>
      </c>
      <c r="Q849" s="41"/>
      <c r="R849" s="43"/>
      <c r="S849" s="49">
        <v>115.8</v>
      </c>
      <c r="T849" s="35"/>
      <c r="U849" s="35"/>
      <c r="V849" s="35"/>
      <c r="W849" s="35"/>
      <c r="X849" s="35"/>
      <c r="Y849" s="35"/>
      <c r="Z849" s="35"/>
    </row>
    <row r="850" spans="2:26" x14ac:dyDescent="0.25">
      <c r="B850" s="5">
        <v>171</v>
      </c>
      <c r="C850" s="34">
        <v>45730</v>
      </c>
      <c r="D850" s="5" t="s">
        <v>632</v>
      </c>
      <c r="E850" s="36">
        <v>320</v>
      </c>
      <c r="F850" s="36">
        <f>E850-G850</f>
        <v>0</v>
      </c>
      <c r="G850" s="36">
        <v>320</v>
      </c>
      <c r="H850" s="34">
        <v>45737</v>
      </c>
      <c r="I850" s="34"/>
      <c r="J850" s="34">
        <v>45737</v>
      </c>
      <c r="K850" s="5" t="s">
        <v>534</v>
      </c>
      <c r="L850" s="34" t="s">
        <v>298</v>
      </c>
      <c r="Q850" s="41"/>
      <c r="R850" s="36">
        <v>320</v>
      </c>
      <c r="S850" s="41"/>
      <c r="T850" s="35"/>
      <c r="U850" s="35"/>
      <c r="V850" s="35"/>
      <c r="W850" s="35"/>
      <c r="X850" s="35"/>
      <c r="Y850" s="35"/>
      <c r="Z850" s="35"/>
    </row>
    <row r="851" spans="2:26" x14ac:dyDescent="0.25">
      <c r="B851" s="5">
        <v>191</v>
      </c>
      <c r="C851" s="34">
        <v>45736</v>
      </c>
      <c r="D851" s="5" t="s">
        <v>573</v>
      </c>
      <c r="E851" s="36">
        <v>190</v>
      </c>
      <c r="F851" s="36">
        <f>E851-G851</f>
        <v>0</v>
      </c>
      <c r="G851" s="36">
        <v>190</v>
      </c>
      <c r="H851" s="34">
        <v>45736</v>
      </c>
      <c r="I851" s="34"/>
      <c r="J851" s="34">
        <v>45747</v>
      </c>
      <c r="K851" s="34" t="s">
        <v>396</v>
      </c>
      <c r="L851" s="34" t="s">
        <v>298</v>
      </c>
      <c r="Q851" s="41"/>
      <c r="R851" s="43"/>
      <c r="S851" s="51">
        <v>190</v>
      </c>
      <c r="T851" s="35"/>
      <c r="U851" s="35"/>
      <c r="V851" s="35"/>
      <c r="W851" s="35"/>
      <c r="X851" s="35"/>
      <c r="Y851" s="35"/>
      <c r="Z851" s="35"/>
    </row>
    <row r="852" spans="2:26" x14ac:dyDescent="0.25">
      <c r="B852" s="5">
        <v>67</v>
      </c>
      <c r="C852" s="34">
        <v>45688</v>
      </c>
      <c r="D852" s="5" t="s">
        <v>631</v>
      </c>
      <c r="E852" s="36">
        <v>1000</v>
      </c>
      <c r="F852" s="36">
        <f>E852-G852</f>
        <v>0</v>
      </c>
      <c r="G852" s="36">
        <v>1000</v>
      </c>
      <c r="H852" s="34">
        <v>45716</v>
      </c>
      <c r="I852" s="34"/>
      <c r="J852" s="34">
        <v>45716</v>
      </c>
      <c r="K852" s="5" t="s">
        <v>598</v>
      </c>
      <c r="L852" s="5" t="s">
        <v>309</v>
      </c>
      <c r="M852" s="5" t="s">
        <v>350</v>
      </c>
      <c r="N852" s="45" t="s">
        <v>630</v>
      </c>
      <c r="Q852" s="44"/>
      <c r="R852" s="36">
        <v>1000</v>
      </c>
      <c r="S852" s="44"/>
      <c r="T852" s="44"/>
      <c r="U852" s="44"/>
      <c r="V852" s="44"/>
      <c r="W852" s="44"/>
      <c r="X852" s="44"/>
      <c r="Y852" s="44"/>
      <c r="Z852" s="44"/>
    </row>
    <row r="853" spans="2:26" x14ac:dyDescent="0.25">
      <c r="B853" s="5">
        <v>68</v>
      </c>
      <c r="C853" s="34">
        <v>45688</v>
      </c>
      <c r="D853" s="5" t="s">
        <v>631</v>
      </c>
      <c r="E853" s="36">
        <v>2150</v>
      </c>
      <c r="F853" s="36">
        <f>E853-G853</f>
        <v>0</v>
      </c>
      <c r="G853" s="36">
        <v>2150</v>
      </c>
      <c r="H853" s="34">
        <v>45716</v>
      </c>
      <c r="I853" s="34"/>
      <c r="J853" s="34">
        <v>45716</v>
      </c>
      <c r="K853" s="5" t="s">
        <v>598</v>
      </c>
      <c r="L853" s="5" t="s">
        <v>309</v>
      </c>
      <c r="M853" s="5" t="s">
        <v>350</v>
      </c>
      <c r="N853" s="45" t="s">
        <v>630</v>
      </c>
      <c r="Q853" s="44"/>
      <c r="R853" s="36">
        <v>2150</v>
      </c>
      <c r="S853" s="44"/>
      <c r="T853" s="44"/>
      <c r="U853" s="44"/>
      <c r="V853" s="44"/>
      <c r="W853" s="44"/>
      <c r="X853" s="44"/>
      <c r="Y853" s="44"/>
      <c r="Z853" s="44"/>
    </row>
    <row r="854" spans="2:26" x14ac:dyDescent="0.25">
      <c r="B854" s="5">
        <v>228</v>
      </c>
      <c r="C854" s="34">
        <v>45747</v>
      </c>
      <c r="D854" s="5" t="s">
        <v>23</v>
      </c>
      <c r="E854" s="33">
        <v>199.35</v>
      </c>
      <c r="F854" s="33">
        <f>E854-G854</f>
        <v>0</v>
      </c>
      <c r="G854" s="33">
        <v>199.35</v>
      </c>
      <c r="H854" s="34">
        <v>45750</v>
      </c>
      <c r="I854" s="34"/>
      <c r="J854" s="34">
        <v>45750</v>
      </c>
      <c r="K854" s="5" t="s">
        <v>544</v>
      </c>
      <c r="L854" s="5" t="s">
        <v>298</v>
      </c>
      <c r="Q854" s="44"/>
      <c r="R854" s="44"/>
      <c r="S854" s="33">
        <v>199.35</v>
      </c>
      <c r="T854" s="44"/>
      <c r="U854" s="44"/>
      <c r="V854" s="44"/>
      <c r="W854" s="44"/>
      <c r="X854" s="44"/>
      <c r="Y854" s="44"/>
      <c r="Z854" s="44"/>
    </row>
    <row r="855" spans="2:26" x14ac:dyDescent="0.25">
      <c r="B855" s="5">
        <v>224</v>
      </c>
      <c r="C855" s="34">
        <v>45747</v>
      </c>
      <c r="D855" s="5" t="s">
        <v>23</v>
      </c>
      <c r="E855" s="33">
        <v>179.4</v>
      </c>
      <c r="F855" s="33">
        <f>E855-G855</f>
        <v>0</v>
      </c>
      <c r="G855" s="33">
        <v>179.4</v>
      </c>
      <c r="H855" s="34">
        <v>45750</v>
      </c>
      <c r="I855" s="34"/>
      <c r="J855" s="34">
        <v>45750</v>
      </c>
      <c r="K855" s="34" t="s">
        <v>424</v>
      </c>
      <c r="L855" s="5" t="s">
        <v>298</v>
      </c>
      <c r="Q855" s="41"/>
      <c r="R855" s="43"/>
      <c r="S855" s="33">
        <v>179.4</v>
      </c>
      <c r="T855" s="35"/>
      <c r="U855" s="35"/>
      <c r="V855" s="35"/>
      <c r="W855" s="35"/>
      <c r="X855" s="35"/>
      <c r="Y855" s="35"/>
      <c r="Z855" s="35"/>
    </row>
    <row r="856" spans="2:26" x14ac:dyDescent="0.25">
      <c r="B856" s="5">
        <v>229</v>
      </c>
      <c r="C856" s="34">
        <v>45747</v>
      </c>
      <c r="D856" s="5" t="s">
        <v>188</v>
      </c>
      <c r="E856" s="33">
        <v>355.62</v>
      </c>
      <c r="F856" s="33">
        <f>E856-G856</f>
        <v>0</v>
      </c>
      <c r="G856" s="33">
        <v>355.62</v>
      </c>
      <c r="H856" s="34">
        <v>45749</v>
      </c>
      <c r="I856" s="34"/>
      <c r="J856" s="34">
        <v>45750</v>
      </c>
      <c r="K856" s="34" t="s">
        <v>354</v>
      </c>
      <c r="L856" s="34" t="s">
        <v>298</v>
      </c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2:26" x14ac:dyDescent="0.25">
      <c r="B857" s="5">
        <v>214</v>
      </c>
      <c r="C857" s="34">
        <v>45743</v>
      </c>
      <c r="D857" s="5" t="s">
        <v>537</v>
      </c>
      <c r="E857" s="36">
        <v>117.5</v>
      </c>
      <c r="F857" s="36">
        <f>E857-G857</f>
        <v>0</v>
      </c>
      <c r="G857" s="36">
        <v>117.5</v>
      </c>
      <c r="H857" s="34">
        <v>45750</v>
      </c>
      <c r="I857" s="34"/>
      <c r="J857" s="34">
        <v>45751</v>
      </c>
      <c r="K857" s="5" t="s">
        <v>629</v>
      </c>
      <c r="L857" s="5" t="s">
        <v>298</v>
      </c>
      <c r="Q857" s="41"/>
      <c r="R857" s="43"/>
      <c r="S857" s="33">
        <v>117.5</v>
      </c>
      <c r="T857" s="35"/>
      <c r="U857" s="35"/>
      <c r="V857" s="35"/>
      <c r="W857" s="35"/>
      <c r="X857" s="35"/>
      <c r="Y857" s="35"/>
      <c r="Z857" s="35"/>
    </row>
    <row r="858" spans="2:26" x14ac:dyDescent="0.25">
      <c r="B858" s="5">
        <v>215</v>
      </c>
      <c r="C858" s="34">
        <v>45743</v>
      </c>
      <c r="D858" s="5" t="s">
        <v>537</v>
      </c>
      <c r="E858" s="36">
        <v>1786.74</v>
      </c>
      <c r="F858" s="36">
        <f>E858-G858</f>
        <v>0</v>
      </c>
      <c r="G858" s="36">
        <v>1786.74</v>
      </c>
      <c r="H858" s="34">
        <v>45750</v>
      </c>
      <c r="I858" s="34"/>
      <c r="J858" s="34">
        <v>45751</v>
      </c>
      <c r="K858" s="34" t="s">
        <v>424</v>
      </c>
      <c r="L858" s="5" t="s">
        <v>298</v>
      </c>
      <c r="Q858" s="41"/>
      <c r="R858" s="43"/>
      <c r="S858" s="33">
        <v>1786.74</v>
      </c>
      <c r="T858" s="35"/>
      <c r="U858" s="35"/>
      <c r="V858" s="35"/>
      <c r="W858" s="35"/>
      <c r="X858" s="35"/>
      <c r="Y858" s="35"/>
      <c r="Z858" s="35"/>
    </row>
    <row r="859" spans="2:26" x14ac:dyDescent="0.25">
      <c r="B859" s="5">
        <v>237</v>
      </c>
      <c r="C859" s="34">
        <v>45749</v>
      </c>
      <c r="D859" s="5" t="s">
        <v>537</v>
      </c>
      <c r="E859" s="36">
        <v>550.04999999999995</v>
      </c>
      <c r="F859" s="36">
        <f>E859-G859</f>
        <v>0</v>
      </c>
      <c r="G859" s="36">
        <v>550.04999999999995</v>
      </c>
      <c r="H859" s="34">
        <v>45750</v>
      </c>
      <c r="I859" s="34"/>
      <c r="J859" s="34">
        <v>45754</v>
      </c>
      <c r="K859" s="34" t="s">
        <v>424</v>
      </c>
      <c r="L859" s="34" t="s">
        <v>298</v>
      </c>
      <c r="Q859" s="41"/>
      <c r="R859" s="43"/>
      <c r="S859" s="33">
        <v>550.04999999999995</v>
      </c>
      <c r="T859" s="35"/>
      <c r="U859" s="35"/>
      <c r="V859" s="35"/>
      <c r="W859" s="35"/>
      <c r="X859" s="35"/>
      <c r="Y859" s="35"/>
      <c r="Z859" s="35"/>
    </row>
    <row r="860" spans="2:26" x14ac:dyDescent="0.25">
      <c r="B860" s="5">
        <v>239</v>
      </c>
      <c r="C860" s="34">
        <v>45751</v>
      </c>
      <c r="D860" s="5" t="s">
        <v>436</v>
      </c>
      <c r="E860" s="36">
        <v>80</v>
      </c>
      <c r="F860" s="36">
        <f>E860-G860</f>
        <v>0</v>
      </c>
      <c r="G860" s="36">
        <v>80</v>
      </c>
      <c r="H860" s="34">
        <v>45751</v>
      </c>
      <c r="I860" s="34"/>
      <c r="J860" s="34">
        <v>45754</v>
      </c>
      <c r="K860" s="34" t="s">
        <v>313</v>
      </c>
      <c r="L860" s="34" t="s">
        <v>298</v>
      </c>
      <c r="Q860" s="41"/>
      <c r="R860" s="43"/>
      <c r="S860" s="41"/>
      <c r="T860" s="33">
        <v>80</v>
      </c>
      <c r="U860" s="35"/>
      <c r="V860" s="35"/>
      <c r="W860" s="35"/>
      <c r="X860" s="35"/>
      <c r="Y860" s="35"/>
      <c r="Z860" s="35"/>
    </row>
    <row r="861" spans="2:26" x14ac:dyDescent="0.25">
      <c r="B861" s="5">
        <v>225</v>
      </c>
      <c r="C861" s="34">
        <v>45747</v>
      </c>
      <c r="D861" s="5" t="s">
        <v>357</v>
      </c>
      <c r="E861" s="36">
        <v>87</v>
      </c>
      <c r="F861" s="36">
        <f>E861-G861</f>
        <v>0</v>
      </c>
      <c r="G861" s="36">
        <v>87</v>
      </c>
      <c r="H861" s="34">
        <v>45754</v>
      </c>
      <c r="I861" s="34"/>
      <c r="J861" s="34">
        <v>45754</v>
      </c>
      <c r="K861" s="34" t="s">
        <v>424</v>
      </c>
      <c r="L861" s="34" t="s">
        <v>298</v>
      </c>
      <c r="Q861" s="41"/>
      <c r="R861" s="43"/>
      <c r="S861" s="33">
        <v>87</v>
      </c>
      <c r="T861" s="35"/>
      <c r="U861" s="35"/>
      <c r="V861" s="35"/>
      <c r="W861" s="35"/>
      <c r="X861" s="35"/>
      <c r="Y861" s="35"/>
      <c r="Z861" s="35"/>
    </row>
    <row r="862" spans="2:26" x14ac:dyDescent="0.25">
      <c r="B862" s="5">
        <v>207</v>
      </c>
      <c r="C862" s="34">
        <v>45742</v>
      </c>
      <c r="D862" s="5" t="s">
        <v>481</v>
      </c>
      <c r="E862" s="36">
        <v>300</v>
      </c>
      <c r="F862" s="36">
        <f>E862-G862</f>
        <v>0</v>
      </c>
      <c r="G862" s="36">
        <v>300</v>
      </c>
      <c r="H862" s="34">
        <v>45751</v>
      </c>
      <c r="I862" s="34"/>
      <c r="J862" s="34">
        <v>45755</v>
      </c>
      <c r="K862" s="34" t="s">
        <v>342</v>
      </c>
      <c r="L862" s="5" t="s">
        <v>309</v>
      </c>
      <c r="M862" s="5" t="s">
        <v>350</v>
      </c>
      <c r="Q862" s="41"/>
      <c r="R862" s="43"/>
      <c r="S862" s="41"/>
      <c r="T862" s="33">
        <v>300</v>
      </c>
      <c r="U862" s="35"/>
      <c r="V862" s="35"/>
      <c r="W862" s="35"/>
      <c r="X862" s="35"/>
      <c r="Y862" s="35"/>
      <c r="Z862" s="35"/>
    </row>
    <row r="863" spans="2:26" x14ac:dyDescent="0.25">
      <c r="B863" s="5">
        <v>234</v>
      </c>
      <c r="C863" s="34">
        <v>45748</v>
      </c>
      <c r="D863" s="5" t="s">
        <v>341</v>
      </c>
      <c r="E863" s="36">
        <v>102.67</v>
      </c>
      <c r="F863" s="36">
        <f>E863-G863</f>
        <v>0</v>
      </c>
      <c r="G863" s="36">
        <v>102.67</v>
      </c>
      <c r="H863" s="34">
        <v>45751</v>
      </c>
      <c r="I863" s="34"/>
      <c r="J863" s="34">
        <v>45756</v>
      </c>
      <c r="K863" s="34" t="s">
        <v>598</v>
      </c>
      <c r="L863" s="34" t="s">
        <v>298</v>
      </c>
      <c r="Q863" s="41"/>
      <c r="R863" s="43"/>
      <c r="S863" s="33">
        <v>102.67</v>
      </c>
      <c r="T863" s="35"/>
      <c r="U863" s="35"/>
      <c r="V863" s="35"/>
      <c r="W863" s="35"/>
      <c r="X863" s="35"/>
      <c r="Y863" s="35"/>
      <c r="Z863" s="35"/>
    </row>
    <row r="864" spans="2:26" x14ac:dyDescent="0.25">
      <c r="B864" s="5">
        <v>248</v>
      </c>
      <c r="C864" s="34">
        <v>45755</v>
      </c>
      <c r="D864" s="5" t="s">
        <v>307</v>
      </c>
      <c r="E864" s="36">
        <v>232.88</v>
      </c>
      <c r="F864" s="36">
        <f>E864-G864</f>
        <v>0</v>
      </c>
      <c r="G864" s="36">
        <v>232.88</v>
      </c>
      <c r="H864" s="34">
        <v>45758</v>
      </c>
      <c r="I864" s="34"/>
      <c r="J864" s="34">
        <v>45756</v>
      </c>
      <c r="K864" s="34" t="s">
        <v>543</v>
      </c>
      <c r="L864" s="34" t="s">
        <v>298</v>
      </c>
      <c r="Q864" s="41"/>
      <c r="R864" s="43"/>
      <c r="S864" s="41"/>
      <c r="T864" s="35"/>
      <c r="U864" s="33">
        <v>232.88</v>
      </c>
      <c r="V864" s="35"/>
      <c r="W864" s="35"/>
      <c r="X864" s="35"/>
      <c r="Y864" s="35"/>
      <c r="Z864" s="35"/>
    </row>
    <row r="865" spans="2:26" x14ac:dyDescent="0.25">
      <c r="B865" s="5">
        <v>238</v>
      </c>
      <c r="C865" s="34">
        <v>45750</v>
      </c>
      <c r="D865" s="5" t="s">
        <v>491</v>
      </c>
      <c r="E865" s="36">
        <v>30</v>
      </c>
      <c r="F865" s="36">
        <f>E865-G865</f>
        <v>0</v>
      </c>
      <c r="G865" s="36">
        <v>30</v>
      </c>
      <c r="H865" s="34">
        <v>45389</v>
      </c>
      <c r="I865" s="34"/>
      <c r="J865" s="34">
        <v>45756</v>
      </c>
      <c r="K865" s="34" t="s">
        <v>607</v>
      </c>
      <c r="L865" s="34" t="s">
        <v>298</v>
      </c>
      <c r="Q865" s="41"/>
      <c r="R865" s="43"/>
      <c r="S865" s="33">
        <v>30</v>
      </c>
      <c r="T865" s="35"/>
      <c r="U865" s="35"/>
      <c r="V865" s="35"/>
      <c r="W865" s="35"/>
      <c r="X865" s="35"/>
      <c r="Y865" s="35"/>
      <c r="Z865" s="44"/>
    </row>
    <row r="866" spans="2:26" x14ac:dyDescent="0.25">
      <c r="B866" s="5">
        <v>245</v>
      </c>
      <c r="C866" s="34">
        <v>45754</v>
      </c>
      <c r="D866" s="5" t="s">
        <v>23</v>
      </c>
      <c r="E866" s="36">
        <v>120.5</v>
      </c>
      <c r="F866" s="36">
        <f>E866-G866</f>
        <v>0</v>
      </c>
      <c r="G866" s="36">
        <v>120.5</v>
      </c>
      <c r="H866" s="34">
        <v>45757</v>
      </c>
      <c r="I866" s="34"/>
      <c r="J866" s="34">
        <v>45756</v>
      </c>
      <c r="K866" s="34" t="s">
        <v>424</v>
      </c>
      <c r="L866" s="34" t="s">
        <v>298</v>
      </c>
      <c r="Q866" s="41"/>
      <c r="R866" s="43"/>
      <c r="S866" s="33">
        <v>120.5</v>
      </c>
      <c r="T866" s="35"/>
      <c r="U866" s="35"/>
      <c r="V866" s="35"/>
      <c r="W866" s="35"/>
      <c r="X866" s="35"/>
      <c r="Y866" s="35"/>
      <c r="Z866" s="35"/>
    </row>
    <row r="867" spans="2:26" x14ac:dyDescent="0.25">
      <c r="B867" s="5">
        <v>250</v>
      </c>
      <c r="C867" s="34">
        <v>45756</v>
      </c>
      <c r="D867" s="5" t="s">
        <v>491</v>
      </c>
      <c r="E867" s="36">
        <v>18.3</v>
      </c>
      <c r="F867" s="36">
        <f>E867-G867</f>
        <v>0</v>
      </c>
      <c r="G867" s="36">
        <v>18.3</v>
      </c>
      <c r="H867" s="34">
        <v>45758</v>
      </c>
      <c r="I867" s="34"/>
      <c r="J867" s="34">
        <v>45763</v>
      </c>
      <c r="K867" s="34" t="s">
        <v>424</v>
      </c>
      <c r="L867" s="34" t="s">
        <v>298</v>
      </c>
      <c r="Q867" s="41"/>
      <c r="R867" s="43"/>
      <c r="S867" s="33">
        <v>18.3</v>
      </c>
      <c r="T867" s="35"/>
      <c r="U867" s="35"/>
      <c r="V867" s="35"/>
      <c r="W867" s="35"/>
      <c r="X867" s="35"/>
      <c r="Y867" s="35"/>
      <c r="Z867" s="35"/>
    </row>
    <row r="868" spans="2:26" x14ac:dyDescent="0.25">
      <c r="B868" s="5">
        <v>223</v>
      </c>
      <c r="C868" s="34">
        <v>45744</v>
      </c>
      <c r="D868" s="5" t="s">
        <v>402</v>
      </c>
      <c r="E868" s="36">
        <v>330</v>
      </c>
      <c r="F868" s="36">
        <f>E868-G868</f>
        <v>0</v>
      </c>
      <c r="G868" s="36">
        <v>330</v>
      </c>
      <c r="H868" s="34">
        <v>45775</v>
      </c>
      <c r="I868" s="34"/>
      <c r="J868" s="34">
        <v>45763</v>
      </c>
      <c r="K868" s="34" t="s">
        <v>598</v>
      </c>
      <c r="L868" s="5" t="s">
        <v>309</v>
      </c>
      <c r="M868" s="5" t="s">
        <v>350</v>
      </c>
      <c r="Q868" s="41"/>
      <c r="R868" s="43"/>
      <c r="S868" s="41"/>
      <c r="T868" s="33">
        <v>330</v>
      </c>
      <c r="U868" s="35"/>
      <c r="V868" s="35"/>
      <c r="W868" s="35"/>
      <c r="X868" s="35"/>
      <c r="Y868" s="35"/>
      <c r="Z868" s="35"/>
    </row>
    <row r="869" spans="2:26" x14ac:dyDescent="0.25">
      <c r="B869" s="5">
        <v>251</v>
      </c>
      <c r="C869" s="34">
        <v>45756</v>
      </c>
      <c r="D869" s="5" t="s">
        <v>307</v>
      </c>
      <c r="E869" s="36">
        <v>150.6</v>
      </c>
      <c r="F869" s="36">
        <f>E869-G869</f>
        <v>0</v>
      </c>
      <c r="G869" s="36">
        <v>150.6</v>
      </c>
      <c r="H869" s="34">
        <v>45758</v>
      </c>
      <c r="I869" s="34"/>
      <c r="J869" s="34">
        <v>45761</v>
      </c>
      <c r="K869" s="34" t="s">
        <v>424</v>
      </c>
      <c r="L869" s="34" t="s">
        <v>298</v>
      </c>
      <c r="Q869" s="41"/>
      <c r="R869" s="43"/>
      <c r="S869" s="41"/>
      <c r="T869" s="35"/>
      <c r="U869" s="33">
        <v>150.6</v>
      </c>
      <c r="V869" s="35"/>
      <c r="W869" s="35"/>
      <c r="X869" s="35"/>
      <c r="Y869" s="35"/>
      <c r="Z869" s="35"/>
    </row>
    <row r="870" spans="2:26" x14ac:dyDescent="0.25">
      <c r="B870" s="5">
        <v>253</v>
      </c>
      <c r="C870" s="34">
        <v>45756</v>
      </c>
      <c r="D870" s="5" t="s">
        <v>307</v>
      </c>
      <c r="E870" s="36">
        <v>150.6</v>
      </c>
      <c r="F870" s="36">
        <f>E870-G870</f>
        <v>0</v>
      </c>
      <c r="G870" s="36">
        <v>150.6</v>
      </c>
      <c r="H870" s="34">
        <v>45758</v>
      </c>
      <c r="I870" s="34"/>
      <c r="J870" s="34">
        <v>45761</v>
      </c>
      <c r="K870" s="34" t="s">
        <v>424</v>
      </c>
      <c r="L870" s="34" t="s">
        <v>298</v>
      </c>
      <c r="Q870" s="41"/>
      <c r="R870" s="43"/>
      <c r="S870" s="41"/>
      <c r="T870" s="35"/>
      <c r="U870" s="33">
        <v>150.6</v>
      </c>
      <c r="V870" s="35"/>
      <c r="W870" s="35"/>
      <c r="X870" s="35"/>
      <c r="Y870" s="35"/>
      <c r="Z870" s="35"/>
    </row>
    <row r="871" spans="2:26" x14ac:dyDescent="0.25">
      <c r="B871" s="5">
        <v>255</v>
      </c>
      <c r="C871" s="34">
        <v>45757</v>
      </c>
      <c r="D871" s="5" t="s">
        <v>23</v>
      </c>
      <c r="E871" s="36">
        <v>64.67</v>
      </c>
      <c r="F871" s="36">
        <f>E871-G871</f>
        <v>0</v>
      </c>
      <c r="G871" s="36">
        <v>64.67</v>
      </c>
      <c r="H871" s="34">
        <v>45761</v>
      </c>
      <c r="I871" s="34"/>
      <c r="J871" s="34">
        <v>45761</v>
      </c>
      <c r="K871" s="34" t="s">
        <v>620</v>
      </c>
      <c r="L871" s="34" t="s">
        <v>309</v>
      </c>
      <c r="M871" s="34" t="s">
        <v>308</v>
      </c>
      <c r="Q871" s="41"/>
      <c r="R871" s="43"/>
      <c r="S871" s="33">
        <v>64.67</v>
      </c>
      <c r="T871" s="35"/>
      <c r="U871" s="35"/>
      <c r="V871" s="35"/>
      <c r="W871" s="35"/>
      <c r="X871" s="35"/>
      <c r="Y871" s="35"/>
      <c r="Z871" s="35"/>
    </row>
    <row r="872" spans="2:26" x14ac:dyDescent="0.25">
      <c r="B872" s="5">
        <v>208</v>
      </c>
      <c r="C872" s="34">
        <v>45742</v>
      </c>
      <c r="D872" s="5" t="s">
        <v>628</v>
      </c>
      <c r="E872" s="36">
        <v>4423</v>
      </c>
      <c r="F872" s="36">
        <f>E872-G872</f>
        <v>0</v>
      </c>
      <c r="G872" s="36">
        <v>4423</v>
      </c>
      <c r="H872" s="34">
        <v>45751</v>
      </c>
      <c r="I872" s="34"/>
      <c r="J872" s="34">
        <v>45758</v>
      </c>
      <c r="K872" s="34" t="s">
        <v>313</v>
      </c>
      <c r="L872" s="5" t="s">
        <v>309</v>
      </c>
      <c r="M872" s="5" t="s">
        <v>350</v>
      </c>
      <c r="Q872" s="41"/>
      <c r="R872" s="43"/>
      <c r="S872" s="33">
        <v>4423</v>
      </c>
      <c r="T872" s="35"/>
      <c r="U872" s="35"/>
      <c r="V872" s="35"/>
      <c r="W872" s="35"/>
      <c r="X872" s="35"/>
      <c r="Y872" s="35"/>
      <c r="Z872" s="35"/>
    </row>
    <row r="873" spans="2:26" x14ac:dyDescent="0.25">
      <c r="B873" s="5">
        <v>252</v>
      </c>
      <c r="C873" s="34">
        <v>45756</v>
      </c>
      <c r="D873" s="5" t="s">
        <v>23</v>
      </c>
      <c r="E873" s="36">
        <v>1100.73</v>
      </c>
      <c r="F873" s="36">
        <f>E873-G873</f>
        <v>0</v>
      </c>
      <c r="G873" s="36">
        <v>1100.73</v>
      </c>
      <c r="H873" s="34">
        <v>45792</v>
      </c>
      <c r="I873" s="34"/>
      <c r="J873" s="34">
        <v>45775</v>
      </c>
      <c r="K873" s="34" t="s">
        <v>424</v>
      </c>
      <c r="L873" s="34" t="s">
        <v>298</v>
      </c>
      <c r="Q873" s="41"/>
      <c r="R873" s="43"/>
      <c r="S873" s="41"/>
      <c r="T873" s="33">
        <v>1100.73</v>
      </c>
      <c r="U873" s="35"/>
      <c r="V873" s="35"/>
      <c r="W873" s="35"/>
      <c r="X873" s="35"/>
      <c r="Y873" s="35"/>
      <c r="Z873" s="35"/>
    </row>
    <row r="874" spans="2:26" x14ac:dyDescent="0.25">
      <c r="B874" s="5">
        <v>205</v>
      </c>
      <c r="C874" s="34">
        <v>45741</v>
      </c>
      <c r="D874" s="5" t="s">
        <v>177</v>
      </c>
      <c r="E874" s="36">
        <v>4506.4799999999996</v>
      </c>
      <c r="F874" s="36">
        <f>E874-G874</f>
        <v>0</v>
      </c>
      <c r="G874" s="36">
        <v>4506.4799999999996</v>
      </c>
      <c r="H874" s="34">
        <v>45751</v>
      </c>
      <c r="I874" s="34"/>
      <c r="J874" s="34">
        <v>45757</v>
      </c>
      <c r="K874" s="34" t="s">
        <v>348</v>
      </c>
      <c r="L874" s="34" t="s">
        <v>298</v>
      </c>
      <c r="Q874" s="41"/>
      <c r="R874" s="54"/>
      <c r="S874" s="33">
        <v>4506.4799999999996</v>
      </c>
      <c r="T874" s="35"/>
      <c r="U874" s="35"/>
      <c r="V874" s="35"/>
      <c r="W874" s="35"/>
      <c r="X874" s="35"/>
      <c r="Y874" s="35"/>
      <c r="Z874" s="35"/>
    </row>
    <row r="875" spans="2:26" x14ac:dyDescent="0.25">
      <c r="B875" s="5">
        <v>118</v>
      </c>
      <c r="C875" s="34">
        <v>45708</v>
      </c>
      <c r="D875" s="5" t="s">
        <v>627</v>
      </c>
      <c r="E875" s="36">
        <v>691.15</v>
      </c>
      <c r="F875" s="36">
        <f>E875-G875</f>
        <v>0</v>
      </c>
      <c r="G875" s="36">
        <v>691.15</v>
      </c>
      <c r="H875" s="34">
        <v>45730</v>
      </c>
      <c r="I875" s="34"/>
      <c r="J875" s="34">
        <v>45757</v>
      </c>
      <c r="K875" s="5" t="s">
        <v>534</v>
      </c>
      <c r="L875" s="5" t="s">
        <v>298</v>
      </c>
      <c r="Q875" s="44"/>
      <c r="R875" s="44"/>
      <c r="S875" s="36">
        <v>691.15</v>
      </c>
      <c r="T875" s="35"/>
      <c r="U875" s="35"/>
      <c r="V875" s="35"/>
      <c r="W875" s="35"/>
      <c r="X875" s="35"/>
      <c r="Y875" s="35"/>
      <c r="Z875" s="35"/>
    </row>
    <row r="876" spans="2:26" x14ac:dyDescent="0.25">
      <c r="B876" s="5">
        <v>236</v>
      </c>
      <c r="C876" s="34">
        <v>45749</v>
      </c>
      <c r="D876" s="5" t="s">
        <v>436</v>
      </c>
      <c r="E876" s="33">
        <v>1431</v>
      </c>
      <c r="F876" s="33">
        <f>E876-G876</f>
        <v>0</v>
      </c>
      <c r="G876" s="33">
        <v>1431</v>
      </c>
      <c r="H876" s="34">
        <v>45757</v>
      </c>
      <c r="I876" s="34"/>
      <c r="J876" s="34">
        <v>45757</v>
      </c>
      <c r="K876" s="34" t="s">
        <v>424</v>
      </c>
      <c r="L876" s="34" t="s">
        <v>298</v>
      </c>
      <c r="Q876" s="41"/>
      <c r="R876" s="43"/>
      <c r="S876" s="41"/>
      <c r="T876" s="33">
        <v>1431</v>
      </c>
      <c r="U876" s="35"/>
      <c r="V876" s="35"/>
      <c r="W876" s="35"/>
      <c r="X876" s="35"/>
      <c r="Y876" s="35"/>
      <c r="Z876" s="35"/>
    </row>
    <row r="877" spans="2:26" x14ac:dyDescent="0.25">
      <c r="B877" s="5">
        <v>235</v>
      </c>
      <c r="C877" s="34">
        <v>45748</v>
      </c>
      <c r="D877" s="5" t="s">
        <v>300</v>
      </c>
      <c r="E877" s="36">
        <v>342</v>
      </c>
      <c r="F877" s="36">
        <f>E877-G877</f>
        <v>0</v>
      </c>
      <c r="G877" s="36">
        <v>342</v>
      </c>
      <c r="H877" s="34">
        <v>45757</v>
      </c>
      <c r="I877" s="34"/>
      <c r="J877" s="34">
        <v>45757</v>
      </c>
      <c r="K877" s="34" t="s">
        <v>424</v>
      </c>
      <c r="L877" s="34" t="s">
        <v>298</v>
      </c>
      <c r="Q877" s="44"/>
      <c r="R877" s="44"/>
      <c r="S877" s="44"/>
      <c r="T877" s="33">
        <v>342</v>
      </c>
      <c r="U877" s="44"/>
      <c r="V877" s="44"/>
      <c r="W877" s="44"/>
      <c r="X877" s="44"/>
      <c r="Y877" s="44"/>
      <c r="Z877" s="44"/>
    </row>
    <row r="878" spans="2:26" x14ac:dyDescent="0.25">
      <c r="B878" s="5">
        <v>259</v>
      </c>
      <c r="C878" s="34">
        <v>45761</v>
      </c>
      <c r="D878" s="5" t="s">
        <v>300</v>
      </c>
      <c r="E878" s="36">
        <v>30</v>
      </c>
      <c r="F878" s="36">
        <f>E878-G878</f>
        <v>0</v>
      </c>
      <c r="G878" s="36">
        <v>30</v>
      </c>
      <c r="H878" s="34">
        <v>45764</v>
      </c>
      <c r="I878" s="34"/>
      <c r="J878" s="34">
        <v>45763</v>
      </c>
      <c r="K878" s="34" t="s">
        <v>424</v>
      </c>
      <c r="L878" s="34" t="s">
        <v>298</v>
      </c>
      <c r="Q878" s="41"/>
      <c r="R878" s="43"/>
      <c r="S878" s="41"/>
      <c r="T878" s="33">
        <v>30</v>
      </c>
      <c r="U878" s="35"/>
      <c r="V878" s="35"/>
      <c r="W878" s="35"/>
      <c r="X878" s="35"/>
      <c r="Y878" s="35"/>
      <c r="Z878" s="35"/>
    </row>
    <row r="879" spans="2:26" x14ac:dyDescent="0.25">
      <c r="B879" s="5">
        <v>260</v>
      </c>
      <c r="C879" s="34">
        <v>45761</v>
      </c>
      <c r="D879" s="5" t="s">
        <v>300</v>
      </c>
      <c r="E879" s="36">
        <v>625</v>
      </c>
      <c r="F879" s="36">
        <f>E879-G879</f>
        <v>0</v>
      </c>
      <c r="G879" s="36">
        <v>625</v>
      </c>
      <c r="H879" s="34">
        <v>45764</v>
      </c>
      <c r="I879" s="34"/>
      <c r="J879" s="34">
        <v>45763</v>
      </c>
      <c r="K879" s="34" t="s">
        <v>313</v>
      </c>
      <c r="L879" s="5" t="s">
        <v>298</v>
      </c>
      <c r="Q879" s="41"/>
      <c r="R879" s="43"/>
      <c r="S879" s="41"/>
      <c r="T879" s="33">
        <v>625</v>
      </c>
      <c r="U879" s="35"/>
      <c r="V879" s="35"/>
      <c r="W879" s="35"/>
      <c r="X879" s="35"/>
      <c r="Y879" s="35"/>
      <c r="Z879" s="35"/>
    </row>
    <row r="880" spans="2:26" x14ac:dyDescent="0.25">
      <c r="B880" s="5">
        <v>168</v>
      </c>
      <c r="C880" s="34">
        <v>45729</v>
      </c>
      <c r="D880" s="5" t="s">
        <v>399</v>
      </c>
      <c r="E880" s="36">
        <v>1980</v>
      </c>
      <c r="F880" s="36">
        <f>E880-G880</f>
        <v>0</v>
      </c>
      <c r="G880" s="36">
        <v>1980</v>
      </c>
      <c r="H880" s="34">
        <v>45744</v>
      </c>
      <c r="I880" s="34"/>
      <c r="J880" s="34">
        <v>45764</v>
      </c>
      <c r="K880" s="5" t="s">
        <v>367</v>
      </c>
      <c r="L880" s="5" t="s">
        <v>298</v>
      </c>
      <c r="Q880" s="41"/>
      <c r="R880" s="43"/>
      <c r="S880" s="36">
        <v>1980</v>
      </c>
      <c r="T880" s="35"/>
      <c r="U880" s="35"/>
      <c r="V880" s="35"/>
      <c r="W880" s="35"/>
      <c r="X880" s="35"/>
      <c r="Y880" s="35"/>
      <c r="Z880" s="35"/>
    </row>
    <row r="881" spans="2:27" x14ac:dyDescent="0.25">
      <c r="B881" s="5">
        <v>262</v>
      </c>
      <c r="C881" s="34">
        <v>45761</v>
      </c>
      <c r="D881" s="5" t="s">
        <v>328</v>
      </c>
      <c r="E881" s="36">
        <v>97.51</v>
      </c>
      <c r="F881" s="36">
        <f>E881-G881</f>
        <v>0</v>
      </c>
      <c r="G881" s="36">
        <v>97.51</v>
      </c>
      <c r="H881" s="34">
        <v>45763</v>
      </c>
      <c r="I881" s="34"/>
      <c r="J881" s="34">
        <v>45764</v>
      </c>
      <c r="K881" s="34" t="s">
        <v>509</v>
      </c>
      <c r="L881" s="34" t="s">
        <v>298</v>
      </c>
      <c r="Q881" s="41"/>
      <c r="R881" s="43"/>
      <c r="S881" s="33">
        <v>97.51</v>
      </c>
      <c r="T881" s="35"/>
      <c r="U881" s="35"/>
      <c r="V881" s="35"/>
      <c r="W881" s="35"/>
      <c r="X881" s="35"/>
      <c r="Y881" s="35"/>
      <c r="Z881" s="35"/>
    </row>
    <row r="882" spans="2:27" x14ac:dyDescent="0.25">
      <c r="B882" s="5">
        <v>263</v>
      </c>
      <c r="C882" s="34">
        <v>45761</v>
      </c>
      <c r="D882" s="5" t="s">
        <v>23</v>
      </c>
      <c r="E882" s="36">
        <v>302.56</v>
      </c>
      <c r="F882" s="36">
        <f>E882-G882</f>
        <v>0</v>
      </c>
      <c r="G882" s="36">
        <v>302.56</v>
      </c>
      <c r="H882" s="34">
        <v>45765</v>
      </c>
      <c r="I882" s="34"/>
      <c r="J882" s="34">
        <v>45764</v>
      </c>
      <c r="K882" s="34" t="s">
        <v>509</v>
      </c>
      <c r="L882" s="34" t="s">
        <v>298</v>
      </c>
      <c r="Q882" s="41"/>
      <c r="R882" s="43"/>
      <c r="S882" s="33">
        <v>302.56</v>
      </c>
      <c r="T882" s="35"/>
      <c r="U882" s="35"/>
      <c r="V882" s="35"/>
      <c r="W882" s="35"/>
      <c r="X882" s="35"/>
      <c r="Y882" s="35"/>
      <c r="Z882" s="35"/>
    </row>
    <row r="883" spans="2:27" x14ac:dyDescent="0.25">
      <c r="B883" s="5">
        <v>254</v>
      </c>
      <c r="C883" s="34">
        <v>45756</v>
      </c>
      <c r="D883" s="5" t="s">
        <v>357</v>
      </c>
      <c r="E883" s="36">
        <v>459.75</v>
      </c>
      <c r="F883" s="36">
        <f>E883-G883</f>
        <v>0</v>
      </c>
      <c r="G883" s="36">
        <v>459.75</v>
      </c>
      <c r="H883" s="34">
        <v>45763</v>
      </c>
      <c r="I883" s="34"/>
      <c r="J883" s="34">
        <v>45764</v>
      </c>
      <c r="K883" s="34" t="s">
        <v>424</v>
      </c>
      <c r="L883" s="34" t="s">
        <v>298</v>
      </c>
      <c r="Q883" s="41"/>
      <c r="R883" s="43"/>
      <c r="S883" s="33">
        <v>459.75</v>
      </c>
      <c r="T883" s="35"/>
      <c r="U883" s="35"/>
      <c r="V883" s="35"/>
      <c r="W883" s="35"/>
      <c r="X883" s="35"/>
      <c r="Y883" s="35"/>
      <c r="Z883" s="35"/>
    </row>
    <row r="884" spans="2:27" x14ac:dyDescent="0.25">
      <c r="B884" s="5">
        <v>240</v>
      </c>
      <c r="C884" s="34">
        <v>45754</v>
      </c>
      <c r="D884" s="5" t="s">
        <v>626</v>
      </c>
      <c r="E884" s="36">
        <v>50</v>
      </c>
      <c r="F884" s="36">
        <f>E884-G884</f>
        <v>0</v>
      </c>
      <c r="G884" s="36">
        <v>50</v>
      </c>
      <c r="H884" s="34">
        <v>45777</v>
      </c>
      <c r="I884" s="34"/>
      <c r="J884" s="34">
        <v>45764</v>
      </c>
      <c r="K884" s="34" t="s">
        <v>625</v>
      </c>
      <c r="L884" s="34" t="s">
        <v>298</v>
      </c>
      <c r="Q884" s="41"/>
      <c r="R884" s="43"/>
      <c r="S884" s="51">
        <v>50</v>
      </c>
      <c r="T884" s="35"/>
      <c r="U884" s="35"/>
      <c r="V884" s="35"/>
      <c r="W884" s="35"/>
      <c r="X884" s="35"/>
      <c r="Y884" s="35"/>
      <c r="Z884" s="35"/>
    </row>
    <row r="885" spans="2:27" x14ac:dyDescent="0.25">
      <c r="B885" s="5">
        <v>231</v>
      </c>
      <c r="C885" s="34">
        <v>45748</v>
      </c>
      <c r="D885" s="5" t="s">
        <v>624</v>
      </c>
      <c r="E885" s="36">
        <f>O885*O2</f>
        <v>184.977</v>
      </c>
      <c r="F885" s="36">
        <f>E885-G885</f>
        <v>-2.9999999999859028E-3</v>
      </c>
      <c r="G885" s="36">
        <v>184.98</v>
      </c>
      <c r="H885" s="34">
        <v>45758</v>
      </c>
      <c r="I885" s="34"/>
      <c r="J885" s="34">
        <v>45764</v>
      </c>
      <c r="K885" s="34" t="s">
        <v>424</v>
      </c>
      <c r="L885" s="34" t="s">
        <v>298</v>
      </c>
      <c r="N885" s="34" t="s">
        <v>391</v>
      </c>
      <c r="O885" s="47">
        <v>198.9</v>
      </c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2:27" x14ac:dyDescent="0.25">
      <c r="B886" s="5">
        <v>165</v>
      </c>
      <c r="C886" s="34">
        <v>45728</v>
      </c>
      <c r="D886" s="5" t="s">
        <v>623</v>
      </c>
      <c r="E886" s="36">
        <f>O886*O3</f>
        <v>1274.1999999999998</v>
      </c>
      <c r="F886" s="36">
        <f>E886-G886</f>
        <v>0</v>
      </c>
      <c r="G886" s="36">
        <v>1274.2</v>
      </c>
      <c r="H886" s="34">
        <v>45763</v>
      </c>
      <c r="I886" s="34"/>
      <c r="J886" s="34">
        <v>45764</v>
      </c>
      <c r="K886" s="5" t="s">
        <v>313</v>
      </c>
      <c r="L886" s="5" t="s">
        <v>298</v>
      </c>
      <c r="N886" s="34" t="s">
        <v>622</v>
      </c>
      <c r="O886" s="84">
        <v>1108</v>
      </c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2:27" x14ac:dyDescent="0.25">
      <c r="B887" s="5">
        <v>272</v>
      </c>
      <c r="C887" s="34">
        <v>45763</v>
      </c>
      <c r="D887" s="5" t="s">
        <v>470</v>
      </c>
      <c r="E887" s="36">
        <v>1300</v>
      </c>
      <c r="F887" s="36">
        <f>E887-G887</f>
        <v>0</v>
      </c>
      <c r="G887" s="36">
        <v>1300</v>
      </c>
      <c r="H887" s="34">
        <v>45771</v>
      </c>
      <c r="I887" s="34"/>
      <c r="J887" s="34">
        <v>45771</v>
      </c>
      <c r="K887" s="34" t="s">
        <v>586</v>
      </c>
      <c r="L887" s="34" t="s">
        <v>298</v>
      </c>
      <c r="Q887" s="41"/>
      <c r="R887" s="43"/>
      <c r="S887" s="33">
        <v>1300</v>
      </c>
      <c r="T887" s="35"/>
      <c r="U887" s="35"/>
      <c r="V887" s="35"/>
      <c r="W887" s="35"/>
      <c r="X887" s="35"/>
      <c r="Y887" s="35"/>
      <c r="Z887" s="35"/>
    </row>
    <row r="888" spans="2:27" x14ac:dyDescent="0.25">
      <c r="B888" s="5">
        <v>274</v>
      </c>
      <c r="C888" s="34">
        <v>45763</v>
      </c>
      <c r="D888" s="5" t="s">
        <v>371</v>
      </c>
      <c r="E888" s="36">
        <v>745</v>
      </c>
      <c r="F888" s="36">
        <f>E888-G888</f>
        <v>0</v>
      </c>
      <c r="G888" s="36">
        <v>745</v>
      </c>
      <c r="H888" s="34">
        <v>45777</v>
      </c>
      <c r="I888" s="34"/>
      <c r="J888" s="34">
        <v>45769</v>
      </c>
      <c r="K888" s="34" t="s">
        <v>603</v>
      </c>
      <c r="L888" s="34" t="s">
        <v>298</v>
      </c>
      <c r="Q888" s="41"/>
      <c r="R888" s="43"/>
      <c r="S888" s="41"/>
      <c r="T888" s="35"/>
      <c r="U888" s="33">
        <v>745</v>
      </c>
      <c r="V888" s="35"/>
      <c r="W888" s="35"/>
      <c r="X888" s="35"/>
      <c r="Y888" s="35"/>
      <c r="Z888" s="35"/>
    </row>
    <row r="889" spans="2:27" x14ac:dyDescent="0.25">
      <c r="B889" s="5">
        <v>73</v>
      </c>
      <c r="C889" s="34">
        <v>45701</v>
      </c>
      <c r="D889" s="5" t="s">
        <v>621</v>
      </c>
      <c r="E889" s="36">
        <v>8650</v>
      </c>
      <c r="F889" s="36">
        <f>E889-G889</f>
        <v>0</v>
      </c>
      <c r="G889" s="36">
        <v>8650</v>
      </c>
      <c r="H889" s="34">
        <v>45767</v>
      </c>
      <c r="I889" s="34"/>
      <c r="J889" s="34">
        <v>45769</v>
      </c>
      <c r="K889" s="5" t="s">
        <v>313</v>
      </c>
      <c r="L889" s="5" t="s">
        <v>309</v>
      </c>
      <c r="M889" s="5" t="s">
        <v>350</v>
      </c>
      <c r="Q889" s="41"/>
      <c r="R889" s="43"/>
      <c r="S889" s="36">
        <v>8650</v>
      </c>
      <c r="T889" s="35"/>
      <c r="U889" s="35"/>
      <c r="V889" s="35"/>
      <c r="W889" s="35"/>
      <c r="X889" s="35"/>
      <c r="Y889" s="35"/>
      <c r="Z889" s="35"/>
      <c r="AA889" s="5"/>
    </row>
    <row r="890" spans="2:27" x14ac:dyDescent="0.25">
      <c r="B890" s="5">
        <v>271</v>
      </c>
      <c r="C890" s="34">
        <v>45763</v>
      </c>
      <c r="D890" s="5" t="s">
        <v>23</v>
      </c>
      <c r="E890" s="36">
        <v>103.6</v>
      </c>
      <c r="F890" s="36">
        <f>E890-G890</f>
        <v>0</v>
      </c>
      <c r="G890" s="36">
        <v>103.6</v>
      </c>
      <c r="H890" s="34">
        <v>45765</v>
      </c>
      <c r="I890" s="34"/>
      <c r="J890" s="34">
        <v>45769</v>
      </c>
      <c r="K890" s="34" t="s">
        <v>620</v>
      </c>
      <c r="L890" s="34" t="s">
        <v>298</v>
      </c>
      <c r="Q890" s="41"/>
      <c r="R890" s="43"/>
      <c r="S890" s="33">
        <v>103.6</v>
      </c>
      <c r="T890" s="35"/>
      <c r="U890" s="35"/>
      <c r="V890" s="35"/>
      <c r="W890" s="35"/>
      <c r="X890" s="35"/>
      <c r="Y890" s="35"/>
      <c r="Z890" s="35"/>
    </row>
    <row r="891" spans="2:27" x14ac:dyDescent="0.25">
      <c r="B891" s="5">
        <v>256</v>
      </c>
      <c r="C891" s="34">
        <v>45761</v>
      </c>
      <c r="D891" s="5" t="s">
        <v>478</v>
      </c>
      <c r="E891" s="36">
        <v>70.8</v>
      </c>
      <c r="F891" s="36">
        <f>E891-G891</f>
        <v>0</v>
      </c>
      <c r="G891" s="36">
        <v>70.8</v>
      </c>
      <c r="H891" s="34">
        <v>45761</v>
      </c>
      <c r="I891" s="34"/>
      <c r="J891" s="34">
        <v>45761</v>
      </c>
      <c r="K891" s="34" t="s">
        <v>424</v>
      </c>
      <c r="L891" s="34" t="s">
        <v>298</v>
      </c>
      <c r="N891" s="39" t="s">
        <v>355</v>
      </c>
      <c r="Q891" s="41"/>
      <c r="R891" s="43"/>
      <c r="S891" s="41"/>
      <c r="T891" s="35"/>
      <c r="U891" s="35"/>
      <c r="V891" s="35"/>
      <c r="W891" s="35"/>
      <c r="X891" s="35"/>
      <c r="Y891" s="35"/>
      <c r="Z891" s="35"/>
    </row>
    <row r="892" spans="2:27" x14ac:dyDescent="0.25">
      <c r="B892" s="5">
        <v>150</v>
      </c>
      <c r="C892" s="34">
        <v>45726</v>
      </c>
      <c r="D892" s="5" t="s">
        <v>241</v>
      </c>
      <c r="E892" s="36">
        <v>2700</v>
      </c>
      <c r="F892" s="36">
        <f>E892-G892</f>
        <v>0</v>
      </c>
      <c r="G892" s="36">
        <v>2700</v>
      </c>
      <c r="H892" s="34">
        <v>45747</v>
      </c>
      <c r="I892" s="34"/>
      <c r="J892" s="34">
        <v>45761</v>
      </c>
      <c r="K892" s="5" t="s">
        <v>619</v>
      </c>
      <c r="L892" s="5" t="s">
        <v>298</v>
      </c>
      <c r="N892" s="45"/>
      <c r="Q892" s="41"/>
      <c r="R892" s="43"/>
      <c r="S892" s="83"/>
      <c r="T892" s="35"/>
      <c r="U892" s="35"/>
      <c r="V892" s="35"/>
      <c r="W892" s="35"/>
      <c r="X892" s="35"/>
      <c r="Y892" s="35"/>
      <c r="Z892" s="44"/>
    </row>
    <row r="893" spans="2:27" x14ac:dyDescent="0.25">
      <c r="B893" s="5">
        <v>257</v>
      </c>
      <c r="C893" s="34">
        <v>45761</v>
      </c>
      <c r="D893" s="5" t="s">
        <v>618</v>
      </c>
      <c r="E893" s="36">
        <v>40.729999999999997</v>
      </c>
      <c r="F893" s="36">
        <f>E893-G893</f>
        <v>0</v>
      </c>
      <c r="G893" s="36">
        <v>40.729999999999997</v>
      </c>
      <c r="H893" s="34">
        <v>45765</v>
      </c>
      <c r="I893" s="34"/>
      <c r="J893" s="34">
        <v>45765</v>
      </c>
      <c r="K893" s="34" t="s">
        <v>424</v>
      </c>
      <c r="L893" s="34" t="s">
        <v>298</v>
      </c>
      <c r="N893" s="39" t="s">
        <v>355</v>
      </c>
      <c r="Q893" s="41"/>
      <c r="R893" s="43"/>
      <c r="S893" s="83"/>
      <c r="T893" s="35"/>
      <c r="U893" s="35"/>
      <c r="V893" s="35"/>
      <c r="W893" s="35"/>
      <c r="X893" s="35"/>
      <c r="Y893" s="35"/>
      <c r="Z893" s="44"/>
    </row>
    <row r="894" spans="2:27" x14ac:dyDescent="0.25">
      <c r="B894" s="5">
        <v>138</v>
      </c>
      <c r="C894" s="34">
        <v>45719</v>
      </c>
      <c r="D894" s="5" t="s">
        <v>374</v>
      </c>
      <c r="E894" s="36">
        <v>5033.5</v>
      </c>
      <c r="F894" s="36">
        <f>E894-G894</f>
        <v>0</v>
      </c>
      <c r="G894" s="36">
        <v>5033.5</v>
      </c>
      <c r="H894" s="34">
        <v>45775</v>
      </c>
      <c r="I894" s="34"/>
      <c r="J894" s="34">
        <v>45771</v>
      </c>
      <c r="K894" s="5" t="s">
        <v>313</v>
      </c>
      <c r="L894" s="5" t="s">
        <v>309</v>
      </c>
      <c r="M894" s="5" t="s">
        <v>350</v>
      </c>
      <c r="Q894" s="41"/>
      <c r="R894" s="43"/>
      <c r="S894" s="41"/>
      <c r="T894" s="36">
        <v>5033.5</v>
      </c>
      <c r="U894" s="35"/>
      <c r="V894" s="35"/>
      <c r="W894" s="35"/>
      <c r="X894" s="35"/>
      <c r="Y894" s="35"/>
      <c r="Z894" s="35"/>
      <c r="AA894" s="5"/>
    </row>
    <row r="895" spans="2:27" x14ac:dyDescent="0.25">
      <c r="B895" s="5">
        <v>284</v>
      </c>
      <c r="C895" s="34">
        <v>45769</v>
      </c>
      <c r="D895" s="5" t="s">
        <v>307</v>
      </c>
      <c r="E895" s="36">
        <v>6.73</v>
      </c>
      <c r="F895" s="36">
        <f>E895-G895</f>
        <v>0</v>
      </c>
      <c r="G895" s="36">
        <v>6.73</v>
      </c>
      <c r="H895" s="34">
        <v>45771</v>
      </c>
      <c r="I895" s="34"/>
      <c r="J895" s="34">
        <v>45770</v>
      </c>
      <c r="K895" s="34" t="s">
        <v>534</v>
      </c>
      <c r="L895" s="34" t="s">
        <v>298</v>
      </c>
      <c r="Q895" s="41"/>
      <c r="R895" s="43"/>
      <c r="S895" s="42"/>
      <c r="T895" s="35"/>
      <c r="U895" s="33">
        <v>6.73</v>
      </c>
      <c r="V895" s="35"/>
      <c r="W895" s="35"/>
      <c r="X895" s="35"/>
      <c r="Y895" s="35"/>
      <c r="Z895" s="35"/>
    </row>
    <row r="896" spans="2:27" x14ac:dyDescent="0.25">
      <c r="B896" s="5">
        <v>187</v>
      </c>
      <c r="C896" s="34">
        <v>45735</v>
      </c>
      <c r="D896" s="5" t="s">
        <v>341</v>
      </c>
      <c r="E896" s="36">
        <v>190</v>
      </c>
      <c r="F896" s="36">
        <f>E896-G896</f>
        <v>0</v>
      </c>
      <c r="G896" s="36">
        <v>190</v>
      </c>
      <c r="H896" s="34">
        <v>45749</v>
      </c>
      <c r="I896" s="34"/>
      <c r="J896" s="34">
        <v>45771</v>
      </c>
      <c r="K896" s="5" t="s">
        <v>367</v>
      </c>
      <c r="L896" s="34" t="s">
        <v>298</v>
      </c>
      <c r="Q896" s="41"/>
      <c r="R896" s="43"/>
      <c r="S896" s="74">
        <v>190</v>
      </c>
      <c r="T896" s="35"/>
      <c r="U896" s="35"/>
      <c r="V896" s="35"/>
      <c r="W896" s="35"/>
      <c r="X896" s="35"/>
      <c r="Y896" s="35"/>
      <c r="Z896" s="35"/>
    </row>
    <row r="897" spans="2:26" x14ac:dyDescent="0.25">
      <c r="B897" s="5">
        <v>273</v>
      </c>
      <c r="C897" s="34">
        <v>45763</v>
      </c>
      <c r="D897" s="5" t="s">
        <v>341</v>
      </c>
      <c r="E897" s="36">
        <v>89.3</v>
      </c>
      <c r="F897" s="36">
        <f>E897-G897</f>
        <v>0</v>
      </c>
      <c r="G897" s="36">
        <v>89.3</v>
      </c>
      <c r="H897" s="34">
        <v>45770</v>
      </c>
      <c r="I897" s="34"/>
      <c r="J897" s="34">
        <v>45771</v>
      </c>
      <c r="K897" s="34" t="s">
        <v>424</v>
      </c>
      <c r="L897" s="34" t="s">
        <v>298</v>
      </c>
      <c r="Q897" s="41"/>
      <c r="R897" s="43"/>
      <c r="S897" s="75">
        <v>89.3</v>
      </c>
      <c r="T897" s="35"/>
      <c r="U897" s="35"/>
      <c r="V897" s="35"/>
      <c r="W897" s="35"/>
      <c r="X897" s="35"/>
      <c r="Y897" s="35"/>
      <c r="Z897" s="35"/>
    </row>
    <row r="898" spans="2:26" x14ac:dyDescent="0.25">
      <c r="B898" s="5">
        <v>105</v>
      </c>
      <c r="C898" s="34">
        <v>45705</v>
      </c>
      <c r="D898" s="5" t="s">
        <v>617</v>
      </c>
      <c r="E898" s="36">
        <v>2819</v>
      </c>
      <c r="F898" s="36">
        <f>E898-G898</f>
        <v>0</v>
      </c>
      <c r="G898" s="36">
        <v>2819</v>
      </c>
      <c r="H898" s="34">
        <v>45716</v>
      </c>
      <c r="I898" s="34"/>
      <c r="J898" s="34">
        <v>45771</v>
      </c>
      <c r="K898" s="5" t="s">
        <v>616</v>
      </c>
      <c r="L898" s="5" t="s">
        <v>298</v>
      </c>
      <c r="Q898" s="41"/>
      <c r="R898" s="43"/>
      <c r="S898" s="42"/>
      <c r="T898" s="81">
        <v>2819</v>
      </c>
      <c r="U898" s="35"/>
      <c r="V898" s="35"/>
      <c r="W898" s="35"/>
      <c r="X898" s="35"/>
      <c r="Y898" s="35"/>
      <c r="Z898" s="35"/>
    </row>
    <row r="899" spans="2:26" x14ac:dyDescent="0.25">
      <c r="B899" s="5">
        <v>264</v>
      </c>
      <c r="C899" s="34">
        <v>45761</v>
      </c>
      <c r="D899" s="5" t="s">
        <v>615</v>
      </c>
      <c r="E899" s="36">
        <v>94.36</v>
      </c>
      <c r="F899" s="36">
        <f>E899-G899</f>
        <v>0</v>
      </c>
      <c r="G899" s="36">
        <v>94.36</v>
      </c>
      <c r="H899" s="34">
        <v>45769</v>
      </c>
      <c r="I899" s="34"/>
      <c r="J899" s="34">
        <v>45771</v>
      </c>
      <c r="K899" s="34" t="s">
        <v>509</v>
      </c>
      <c r="L899" s="34" t="s">
        <v>298</v>
      </c>
      <c r="M899" s="34"/>
      <c r="N899" s="39" t="s">
        <v>355</v>
      </c>
      <c r="Q899" s="41"/>
      <c r="R899" s="43"/>
      <c r="S899" s="42"/>
      <c r="T899" s="35"/>
      <c r="U899" s="35"/>
      <c r="V899" s="35"/>
      <c r="W899" s="35"/>
      <c r="X899" s="35"/>
      <c r="Y899" s="35"/>
      <c r="Z899" s="35"/>
    </row>
    <row r="900" spans="2:26" x14ac:dyDescent="0.25">
      <c r="B900" s="5">
        <v>280</v>
      </c>
      <c r="C900" s="34">
        <v>45769</v>
      </c>
      <c r="D900" s="5" t="s">
        <v>307</v>
      </c>
      <c r="E900" s="36">
        <v>241.57</v>
      </c>
      <c r="F900" s="36">
        <f>E900-G900</f>
        <v>0</v>
      </c>
      <c r="G900" s="36">
        <v>241.57</v>
      </c>
      <c r="H900" s="34">
        <v>45771</v>
      </c>
      <c r="I900" s="34"/>
      <c r="J900" s="34">
        <v>45771</v>
      </c>
      <c r="K900" s="34" t="s">
        <v>509</v>
      </c>
      <c r="L900" s="34" t="s">
        <v>298</v>
      </c>
      <c r="Q900" s="35"/>
      <c r="R900" s="43"/>
      <c r="S900" s="42"/>
      <c r="T900" s="35"/>
      <c r="U900" s="33">
        <v>241.57</v>
      </c>
      <c r="V900" s="35"/>
      <c r="W900" s="35"/>
      <c r="X900" s="35"/>
      <c r="Y900" s="35"/>
      <c r="Z900" s="35"/>
    </row>
    <row r="901" spans="2:26" x14ac:dyDescent="0.25">
      <c r="B901" s="5">
        <v>283</v>
      </c>
      <c r="C901" s="34">
        <v>45769</v>
      </c>
      <c r="D901" s="5" t="s">
        <v>614</v>
      </c>
      <c r="E901" s="36">
        <v>103.34</v>
      </c>
      <c r="F901" s="36">
        <f>E901-G901</f>
        <v>0</v>
      </c>
      <c r="G901" s="36">
        <v>103.34</v>
      </c>
      <c r="H901" s="34">
        <v>45783</v>
      </c>
      <c r="I901" s="34"/>
      <c r="J901" s="34">
        <v>45775</v>
      </c>
      <c r="K901" s="34" t="s">
        <v>596</v>
      </c>
      <c r="L901" s="34" t="s">
        <v>298</v>
      </c>
      <c r="N901" s="39" t="s">
        <v>355</v>
      </c>
      <c r="Q901" s="41"/>
      <c r="R901" s="43"/>
      <c r="S901" s="42"/>
      <c r="T901" s="35"/>
      <c r="U901" s="35"/>
      <c r="V901" s="35"/>
      <c r="W901" s="35"/>
      <c r="X901" s="35"/>
      <c r="Y901" s="35"/>
      <c r="Z901" s="44"/>
    </row>
    <row r="902" spans="2:26" x14ac:dyDescent="0.25">
      <c r="B902" s="5">
        <v>233</v>
      </c>
      <c r="C902" s="34">
        <v>45748</v>
      </c>
      <c r="D902" s="5" t="s">
        <v>307</v>
      </c>
      <c r="E902" s="36">
        <v>151.19999999999999</v>
      </c>
      <c r="F902" s="36">
        <f>E902-G902</f>
        <v>0</v>
      </c>
      <c r="G902" s="36">
        <v>151.19999999999999</v>
      </c>
      <c r="H902" s="34">
        <v>45750</v>
      </c>
      <c r="I902" s="34"/>
      <c r="J902" s="34">
        <v>45771</v>
      </c>
      <c r="K902" s="34" t="s">
        <v>601</v>
      </c>
      <c r="L902" s="34" t="s">
        <v>298</v>
      </c>
      <c r="Q902" s="41"/>
      <c r="R902" s="43"/>
      <c r="S902" s="42"/>
      <c r="T902" s="35"/>
      <c r="U902" s="33">
        <v>151.19999999999999</v>
      </c>
      <c r="V902" s="35"/>
      <c r="W902" s="35"/>
      <c r="X902" s="35"/>
      <c r="Y902" s="35"/>
      <c r="Z902" s="35"/>
    </row>
    <row r="903" spans="2:26" x14ac:dyDescent="0.25">
      <c r="B903" s="5">
        <v>154</v>
      </c>
      <c r="C903" s="34">
        <v>45726</v>
      </c>
      <c r="D903" s="5" t="s">
        <v>300</v>
      </c>
      <c r="E903" s="36">
        <v>1279.0999999999999</v>
      </c>
      <c r="F903" s="36">
        <f>E903-G903</f>
        <v>0</v>
      </c>
      <c r="G903" s="36">
        <v>1279.0999999999999</v>
      </c>
      <c r="H903" s="34">
        <v>45777</v>
      </c>
      <c r="I903" s="34"/>
      <c r="J903" s="34">
        <v>45771</v>
      </c>
      <c r="K903" s="5" t="s">
        <v>367</v>
      </c>
      <c r="L903" s="5" t="s">
        <v>298</v>
      </c>
      <c r="Q903" s="41"/>
      <c r="R903" s="43"/>
      <c r="S903" s="42"/>
      <c r="T903" s="33">
        <v>1409.1</v>
      </c>
      <c r="U903" s="35"/>
      <c r="V903" s="35"/>
      <c r="W903" s="35"/>
      <c r="X903" s="35"/>
      <c r="Y903" s="35"/>
      <c r="Z903" s="35"/>
    </row>
    <row r="904" spans="2:26" x14ac:dyDescent="0.25">
      <c r="B904" s="5">
        <v>113</v>
      </c>
      <c r="C904" s="34">
        <v>45706</v>
      </c>
      <c r="D904" s="5" t="s">
        <v>23</v>
      </c>
      <c r="E904" s="36">
        <v>328.39</v>
      </c>
      <c r="F904" s="36">
        <f>E904-G904</f>
        <v>0</v>
      </c>
      <c r="G904" s="36">
        <v>328.39</v>
      </c>
      <c r="H904" s="34">
        <v>45712</v>
      </c>
      <c r="I904" s="34"/>
      <c r="J904" s="34">
        <v>45775</v>
      </c>
      <c r="K904" s="5" t="s">
        <v>382</v>
      </c>
      <c r="L904" s="5" t="s">
        <v>298</v>
      </c>
      <c r="Q904" s="36">
        <v>326.79000000000002</v>
      </c>
      <c r="R904" s="43"/>
      <c r="S904" s="64">
        <v>1.6</v>
      </c>
      <c r="T904" s="35"/>
      <c r="U904" s="35"/>
      <c r="V904" s="35"/>
      <c r="W904" s="35"/>
      <c r="X904" s="35"/>
      <c r="Y904" s="35"/>
      <c r="Z904" s="35"/>
    </row>
    <row r="905" spans="2:26" x14ac:dyDescent="0.25">
      <c r="B905" s="5">
        <v>231</v>
      </c>
      <c r="C905" s="34">
        <v>45748</v>
      </c>
      <c r="D905" s="5" t="s">
        <v>470</v>
      </c>
      <c r="E905" s="36">
        <v>2200</v>
      </c>
      <c r="F905" s="36">
        <f>E905-G905</f>
        <v>0</v>
      </c>
      <c r="G905" s="36">
        <v>2200</v>
      </c>
      <c r="H905" s="34">
        <v>45777</v>
      </c>
      <c r="I905" s="34"/>
      <c r="J905" s="34">
        <v>45777</v>
      </c>
      <c r="K905" s="34" t="s">
        <v>313</v>
      </c>
      <c r="L905" s="34" t="s">
        <v>298</v>
      </c>
      <c r="Q905" s="41"/>
      <c r="R905" s="43"/>
      <c r="S905" s="75">
        <v>2200</v>
      </c>
      <c r="T905" s="35"/>
      <c r="U905" s="35"/>
      <c r="V905" s="35"/>
      <c r="W905" s="35"/>
      <c r="X905" s="35"/>
      <c r="Y905" s="35"/>
      <c r="Z905" s="35"/>
    </row>
    <row r="906" spans="2:26" x14ac:dyDescent="0.25">
      <c r="B906" s="5">
        <v>244</v>
      </c>
      <c r="C906" s="34">
        <v>45754</v>
      </c>
      <c r="D906" s="5">
        <v>1855</v>
      </c>
      <c r="E906" s="36">
        <v>65</v>
      </c>
      <c r="F906" s="36">
        <f>E906-G906</f>
        <v>0</v>
      </c>
      <c r="G906" s="36">
        <v>65</v>
      </c>
      <c r="H906" s="34">
        <v>45758</v>
      </c>
      <c r="I906" s="34"/>
      <c r="J906" s="34">
        <v>45776</v>
      </c>
      <c r="K906" s="34" t="s">
        <v>613</v>
      </c>
      <c r="L906" s="34" t="s">
        <v>298</v>
      </c>
      <c r="Q906" s="41"/>
      <c r="R906" s="43"/>
      <c r="S906" s="75">
        <v>65</v>
      </c>
      <c r="T906" s="35"/>
      <c r="U906" s="35"/>
      <c r="V906" s="35"/>
      <c r="W906" s="35"/>
      <c r="X906" s="35"/>
      <c r="Y906" s="35"/>
      <c r="Z906" s="35"/>
    </row>
    <row r="907" spans="2:26" x14ac:dyDescent="0.25">
      <c r="B907" s="5">
        <v>258</v>
      </c>
      <c r="C907" s="34">
        <v>45761</v>
      </c>
      <c r="D907" s="5" t="s">
        <v>403</v>
      </c>
      <c r="E907" s="36">
        <v>164.85</v>
      </c>
      <c r="F907" s="36">
        <f>E907-G907</f>
        <v>0</v>
      </c>
      <c r="G907" s="36">
        <v>164.85</v>
      </c>
      <c r="H907" s="34">
        <v>45775</v>
      </c>
      <c r="I907" s="34"/>
      <c r="J907" s="34">
        <v>45776</v>
      </c>
      <c r="K907" s="34" t="s">
        <v>424</v>
      </c>
      <c r="L907" s="34" t="s">
        <v>309</v>
      </c>
      <c r="M907" s="34" t="s">
        <v>308</v>
      </c>
      <c r="Q907" s="41"/>
      <c r="R907" s="43"/>
      <c r="S907" s="75">
        <v>164.85</v>
      </c>
      <c r="T907" s="35"/>
      <c r="U907" s="35"/>
      <c r="V907" s="35"/>
      <c r="W907" s="35"/>
      <c r="X907" s="35"/>
      <c r="Y907" s="35"/>
      <c r="Z907" s="35"/>
    </row>
    <row r="908" spans="2:26" x14ac:dyDescent="0.25">
      <c r="B908" s="5">
        <v>246</v>
      </c>
      <c r="C908" s="34">
        <v>45755</v>
      </c>
      <c r="D908" s="5" t="s">
        <v>612</v>
      </c>
      <c r="E908" s="36">
        <v>1230</v>
      </c>
      <c r="F908" s="36">
        <f>E908-G908</f>
        <v>0</v>
      </c>
      <c r="G908" s="36">
        <v>1230</v>
      </c>
      <c r="H908" s="34">
        <v>45762</v>
      </c>
      <c r="I908" s="34"/>
      <c r="J908" s="34">
        <v>45776</v>
      </c>
      <c r="K908" s="34" t="s">
        <v>534</v>
      </c>
      <c r="L908" s="34" t="s">
        <v>309</v>
      </c>
      <c r="M908" s="34" t="s">
        <v>308</v>
      </c>
      <c r="Q908" s="41"/>
      <c r="R908" s="43"/>
      <c r="S908" s="82">
        <v>1230</v>
      </c>
      <c r="T908" s="35"/>
      <c r="U908" s="35"/>
      <c r="V908" s="35"/>
      <c r="W908" s="35"/>
      <c r="X908" s="35"/>
      <c r="Y908" s="35"/>
      <c r="Z908" s="35"/>
    </row>
    <row r="909" spans="2:26" x14ac:dyDescent="0.25">
      <c r="B909" s="5">
        <v>247</v>
      </c>
      <c r="C909" s="34">
        <v>45755</v>
      </c>
      <c r="D909" s="5" t="s">
        <v>612</v>
      </c>
      <c r="E909" s="36">
        <v>580</v>
      </c>
      <c r="F909" s="36">
        <f>E909-G909</f>
        <v>0</v>
      </c>
      <c r="G909" s="36">
        <v>580</v>
      </c>
      <c r="H909" s="34">
        <v>45762</v>
      </c>
      <c r="I909" s="34"/>
      <c r="J909" s="34">
        <v>45776</v>
      </c>
      <c r="K909" s="34" t="s">
        <v>603</v>
      </c>
      <c r="L909" s="34" t="s">
        <v>309</v>
      </c>
      <c r="M909" s="34" t="s">
        <v>308</v>
      </c>
      <c r="Q909" s="41"/>
      <c r="R909" s="43"/>
      <c r="S909" s="82">
        <v>580</v>
      </c>
      <c r="T909" s="35"/>
      <c r="U909" s="35"/>
      <c r="V909" s="35"/>
      <c r="W909" s="35"/>
      <c r="X909" s="35"/>
      <c r="Y909" s="35"/>
      <c r="Z909" s="35"/>
    </row>
    <row r="910" spans="2:26" x14ac:dyDescent="0.25">
      <c r="B910" s="5">
        <v>288</v>
      </c>
      <c r="C910" s="34">
        <v>45770</v>
      </c>
      <c r="D910" s="5" t="s">
        <v>371</v>
      </c>
      <c r="E910" s="36">
        <v>530</v>
      </c>
      <c r="F910" s="36">
        <f>E910-G910</f>
        <v>0</v>
      </c>
      <c r="G910" s="36">
        <v>530</v>
      </c>
      <c r="H910" s="34">
        <v>45783</v>
      </c>
      <c r="I910" s="34"/>
      <c r="J910" s="34">
        <v>45776</v>
      </c>
      <c r="K910" s="34" t="s">
        <v>611</v>
      </c>
      <c r="L910" s="34" t="s">
        <v>298</v>
      </c>
      <c r="Q910" s="41"/>
      <c r="R910" s="43"/>
      <c r="S910" s="42"/>
      <c r="T910" s="35"/>
      <c r="U910" s="33">
        <v>530</v>
      </c>
      <c r="V910" s="44"/>
      <c r="W910" s="35"/>
      <c r="X910" s="35"/>
      <c r="Y910" s="35"/>
      <c r="Z910" s="35"/>
    </row>
    <row r="911" spans="2:26" x14ac:dyDescent="0.25">
      <c r="B911" s="5">
        <v>219</v>
      </c>
      <c r="C911" s="34">
        <v>45744</v>
      </c>
      <c r="D911" s="5" t="s">
        <v>610</v>
      </c>
      <c r="E911" s="36">
        <v>18247.400000000001</v>
      </c>
      <c r="F911" s="36">
        <f>E911-G911</f>
        <v>0</v>
      </c>
      <c r="G911" s="36">
        <v>18247.400000000001</v>
      </c>
      <c r="H911" s="34">
        <v>45777</v>
      </c>
      <c r="I911" s="34"/>
      <c r="J911" s="34">
        <v>45776</v>
      </c>
      <c r="K911" s="34" t="s">
        <v>603</v>
      </c>
      <c r="L911" s="34" t="s">
        <v>298</v>
      </c>
      <c r="Q911" s="41"/>
      <c r="R911" s="43"/>
      <c r="S911" s="42"/>
      <c r="T911" s="33">
        <v>18247.400000000001</v>
      </c>
      <c r="U911" s="35"/>
      <c r="V911" s="35"/>
      <c r="W911" s="35"/>
      <c r="X911" s="35"/>
      <c r="Y911" s="35"/>
      <c r="Z911" s="35"/>
    </row>
    <row r="912" spans="2:26" x14ac:dyDescent="0.25">
      <c r="B912" s="5">
        <v>261</v>
      </c>
      <c r="C912" s="34">
        <v>45761</v>
      </c>
      <c r="D912" s="5" t="s">
        <v>370</v>
      </c>
      <c r="E912" s="36">
        <v>1196.6600000000001</v>
      </c>
      <c r="F912" s="36">
        <f>E912-G912</f>
        <v>0</v>
      </c>
      <c r="G912" s="36">
        <v>1196.6600000000001</v>
      </c>
      <c r="H912" s="34">
        <v>45771</v>
      </c>
      <c r="I912" s="34"/>
      <c r="J912" s="34">
        <v>45782</v>
      </c>
      <c r="K912" s="34" t="s">
        <v>431</v>
      </c>
      <c r="L912" s="5" t="s">
        <v>303</v>
      </c>
      <c r="Q912" s="41"/>
      <c r="R912" s="43"/>
      <c r="S912" s="42"/>
      <c r="T912" s="33">
        <v>1196.6600000000001</v>
      </c>
      <c r="U912" s="35"/>
      <c r="V912" s="35"/>
      <c r="W912" s="35"/>
      <c r="X912" s="35"/>
      <c r="Y912" s="35"/>
      <c r="Z912" s="35"/>
    </row>
    <row r="913" spans="2:26" x14ac:dyDescent="0.25">
      <c r="B913" s="5">
        <v>243</v>
      </c>
      <c r="C913" s="34">
        <v>45754</v>
      </c>
      <c r="D913" s="5" t="s">
        <v>405</v>
      </c>
      <c r="E913" s="36">
        <v>8000</v>
      </c>
      <c r="F913" s="36">
        <f>E913-G913</f>
        <v>0</v>
      </c>
      <c r="G913" s="36">
        <v>8000</v>
      </c>
      <c r="H913" s="34">
        <v>45770</v>
      </c>
      <c r="I913" s="34"/>
      <c r="J913" s="34">
        <v>45777</v>
      </c>
      <c r="K913" s="34" t="s">
        <v>424</v>
      </c>
      <c r="L913" s="34" t="s">
        <v>298</v>
      </c>
      <c r="Q913" s="41"/>
      <c r="R913" s="43"/>
      <c r="S913" s="49">
        <v>8000</v>
      </c>
      <c r="T913" s="35"/>
      <c r="U913" s="35"/>
      <c r="V913" s="35"/>
      <c r="W913" s="35"/>
      <c r="X913" s="35"/>
      <c r="Y913" s="35"/>
      <c r="Z913" s="35"/>
    </row>
    <row r="914" spans="2:26" x14ac:dyDescent="0.25">
      <c r="B914" s="79">
        <v>713</v>
      </c>
      <c r="C914" s="78">
        <v>45656</v>
      </c>
      <c r="D914" s="79" t="s">
        <v>307</v>
      </c>
      <c r="E914" s="80">
        <v>239</v>
      </c>
      <c r="F914" s="80">
        <f>E914-G914</f>
        <v>0</v>
      </c>
      <c r="G914" s="80">
        <v>239</v>
      </c>
      <c r="H914" s="78">
        <v>45688</v>
      </c>
      <c r="I914" s="78"/>
      <c r="J914" s="79" t="s">
        <v>595</v>
      </c>
      <c r="K914" s="79" t="s">
        <v>313</v>
      </c>
      <c r="L914" s="77" t="s">
        <v>594</v>
      </c>
      <c r="M914" s="5" t="s">
        <v>308</v>
      </c>
      <c r="N914" s="45" t="s">
        <v>594</v>
      </c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2:26" x14ac:dyDescent="0.25">
      <c r="B915" s="5">
        <v>242</v>
      </c>
      <c r="C915" s="34">
        <v>45754</v>
      </c>
      <c r="D915" s="5" t="s">
        <v>609</v>
      </c>
      <c r="E915" s="33">
        <v>670</v>
      </c>
      <c r="F915" s="33">
        <f>E915-G915</f>
        <v>0</v>
      </c>
      <c r="G915" s="33">
        <v>670</v>
      </c>
      <c r="H915" s="34">
        <v>45775</v>
      </c>
      <c r="I915" s="34"/>
      <c r="J915" s="34">
        <v>45783</v>
      </c>
      <c r="K915" s="34" t="s">
        <v>598</v>
      </c>
      <c r="L915" s="34" t="s">
        <v>298</v>
      </c>
      <c r="Q915" s="44"/>
      <c r="R915" s="44"/>
      <c r="S915" s="33">
        <v>670</v>
      </c>
      <c r="T915" s="44"/>
      <c r="U915" s="44"/>
      <c r="V915" s="44"/>
      <c r="W915" s="44"/>
      <c r="X915" s="44"/>
      <c r="Y915" s="44"/>
      <c r="Z915" s="44"/>
    </row>
    <row r="916" spans="2:26" x14ac:dyDescent="0.25">
      <c r="B916" s="5">
        <v>282</v>
      </c>
      <c r="C916" s="34">
        <v>45769</v>
      </c>
      <c r="D916" s="5" t="s">
        <v>403</v>
      </c>
      <c r="E916" s="36">
        <v>54.18</v>
      </c>
      <c r="F916" s="36">
        <f>E916-G916</f>
        <v>0</v>
      </c>
      <c r="G916" s="36">
        <v>54.18</v>
      </c>
      <c r="H916" s="34">
        <v>45783</v>
      </c>
      <c r="I916" s="34"/>
      <c r="J916" s="34">
        <v>45783</v>
      </c>
      <c r="K916" s="34" t="s">
        <v>509</v>
      </c>
      <c r="L916" s="5" t="s">
        <v>309</v>
      </c>
      <c r="M916" s="5" t="s">
        <v>350</v>
      </c>
      <c r="Q916" s="41"/>
      <c r="R916" s="43"/>
      <c r="S916" s="42"/>
      <c r="T916" s="33">
        <v>54.18</v>
      </c>
      <c r="U916" s="35"/>
      <c r="V916" s="35"/>
      <c r="W916" s="35"/>
      <c r="X916" s="35"/>
      <c r="Y916" s="35"/>
      <c r="Z916" s="35"/>
    </row>
    <row r="917" spans="2:26" x14ac:dyDescent="0.25">
      <c r="B917" s="5">
        <v>266</v>
      </c>
      <c r="C917" s="34">
        <v>45762</v>
      </c>
      <c r="D917" s="5" t="s">
        <v>403</v>
      </c>
      <c r="E917" s="33">
        <v>104.52</v>
      </c>
      <c r="F917" s="33">
        <f>E917-G917</f>
        <v>0</v>
      </c>
      <c r="G917" s="33">
        <v>104.52</v>
      </c>
      <c r="H917" s="34">
        <v>45779</v>
      </c>
      <c r="I917" s="34"/>
      <c r="J917" s="34">
        <v>45782</v>
      </c>
      <c r="K917" s="34" t="s">
        <v>509</v>
      </c>
      <c r="L917" s="5" t="s">
        <v>309</v>
      </c>
      <c r="M917" s="5" t="s">
        <v>350</v>
      </c>
      <c r="Q917" s="41"/>
      <c r="R917" s="43"/>
      <c r="S917" s="42"/>
      <c r="T917" s="75">
        <v>104.52</v>
      </c>
      <c r="U917" s="35"/>
      <c r="V917" s="35"/>
      <c r="W917" s="35"/>
      <c r="X917" s="35"/>
      <c r="Y917" s="35"/>
      <c r="Z917" s="35"/>
    </row>
    <row r="918" spans="2:26" x14ac:dyDescent="0.25">
      <c r="B918" s="5">
        <v>293</v>
      </c>
      <c r="C918" s="34">
        <v>45775</v>
      </c>
      <c r="D918" s="5" t="s">
        <v>403</v>
      </c>
      <c r="E918" s="33">
        <v>279</v>
      </c>
      <c r="F918" s="33">
        <f>E918-G918</f>
        <v>0</v>
      </c>
      <c r="G918" s="33">
        <v>279</v>
      </c>
      <c r="H918" s="34">
        <v>45782</v>
      </c>
      <c r="I918" s="34"/>
      <c r="J918" s="34">
        <v>45782</v>
      </c>
      <c r="K918" s="34" t="s">
        <v>313</v>
      </c>
      <c r="L918" s="5" t="s">
        <v>309</v>
      </c>
      <c r="M918" s="5" t="s">
        <v>350</v>
      </c>
      <c r="Q918" s="41"/>
      <c r="R918" s="43"/>
      <c r="S918" s="42"/>
      <c r="T918" s="33">
        <v>279</v>
      </c>
      <c r="U918" s="35"/>
      <c r="V918" s="35"/>
      <c r="W918" s="35"/>
      <c r="X918" s="35"/>
      <c r="Y918" s="35"/>
      <c r="Z918" s="35"/>
    </row>
    <row r="919" spans="2:26" x14ac:dyDescent="0.25">
      <c r="B919" s="5">
        <v>302</v>
      </c>
      <c r="C919" s="34">
        <v>45782</v>
      </c>
      <c r="D919" s="5" t="s">
        <v>405</v>
      </c>
      <c r="E919" s="36">
        <v>340</v>
      </c>
      <c r="F919" s="36">
        <f>E919-G919</f>
        <v>0</v>
      </c>
      <c r="G919" s="36">
        <v>340</v>
      </c>
      <c r="H919" s="34">
        <v>45786</v>
      </c>
      <c r="I919" s="34"/>
      <c r="J919" s="34">
        <v>45785</v>
      </c>
      <c r="K919" s="34" t="s">
        <v>608</v>
      </c>
      <c r="L919" s="34" t="s">
        <v>298</v>
      </c>
      <c r="Q919" s="41"/>
      <c r="R919" s="43"/>
      <c r="S919" s="42"/>
      <c r="T919" s="33">
        <v>340</v>
      </c>
      <c r="U919" s="35"/>
      <c r="V919" s="35"/>
      <c r="W919" s="35"/>
      <c r="X919" s="35"/>
      <c r="Y919" s="35"/>
      <c r="Z919" s="35"/>
    </row>
    <row r="920" spans="2:26" x14ac:dyDescent="0.25">
      <c r="B920" s="5">
        <v>313</v>
      </c>
      <c r="C920" s="34">
        <v>45784</v>
      </c>
      <c r="D920" s="5" t="s">
        <v>436</v>
      </c>
      <c r="E920" s="36">
        <v>100</v>
      </c>
      <c r="F920" s="36">
        <f>E920-G920</f>
        <v>0</v>
      </c>
      <c r="G920" s="36">
        <v>100</v>
      </c>
      <c r="H920" s="34">
        <v>45784</v>
      </c>
      <c r="I920" s="34"/>
      <c r="J920" s="34">
        <v>45785</v>
      </c>
      <c r="K920" s="34" t="s">
        <v>608</v>
      </c>
      <c r="L920" s="34" t="s">
        <v>298</v>
      </c>
      <c r="Q920" s="41"/>
      <c r="R920" s="43"/>
      <c r="S920" s="42"/>
      <c r="T920" s="35"/>
      <c r="U920" s="33">
        <v>100</v>
      </c>
      <c r="V920" s="35"/>
      <c r="W920" s="35"/>
      <c r="X920" s="35"/>
      <c r="Y920" s="35"/>
      <c r="Z920" s="35"/>
    </row>
    <row r="921" spans="2:26" x14ac:dyDescent="0.25">
      <c r="B921" s="5">
        <v>305</v>
      </c>
      <c r="C921" s="34">
        <v>45782</v>
      </c>
      <c r="D921" s="5" t="s">
        <v>565</v>
      </c>
      <c r="E921" s="36">
        <v>69.8</v>
      </c>
      <c r="F921" s="36">
        <f>E921-G921</f>
        <v>0</v>
      </c>
      <c r="G921" s="36">
        <v>69.8</v>
      </c>
      <c r="H921" s="34">
        <v>45782</v>
      </c>
      <c r="I921" s="34"/>
      <c r="J921" s="34">
        <v>45777</v>
      </c>
      <c r="K921" s="34" t="s">
        <v>313</v>
      </c>
      <c r="L921" s="34" t="s">
        <v>298</v>
      </c>
      <c r="M921" s="34"/>
      <c r="N921" s="39" t="s">
        <v>355</v>
      </c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2:26" x14ac:dyDescent="0.25">
      <c r="B922" s="5">
        <v>287</v>
      </c>
      <c r="C922" s="34">
        <v>45770</v>
      </c>
      <c r="D922" s="5" t="s">
        <v>321</v>
      </c>
      <c r="E922" s="36">
        <v>118.84</v>
      </c>
      <c r="F922" s="36">
        <f>E922-G922</f>
        <v>0</v>
      </c>
      <c r="G922" s="36">
        <v>118.84</v>
      </c>
      <c r="H922" s="34">
        <v>45776</v>
      </c>
      <c r="I922" s="34"/>
      <c r="J922" s="34">
        <v>45782</v>
      </c>
      <c r="K922" s="34" t="s">
        <v>313</v>
      </c>
      <c r="L922" s="5" t="s">
        <v>309</v>
      </c>
      <c r="M922" s="5" t="s">
        <v>350</v>
      </c>
      <c r="Q922" s="41"/>
      <c r="R922" s="43"/>
      <c r="S922" s="75">
        <v>118.84</v>
      </c>
      <c r="T922" s="35"/>
      <c r="U922" s="35"/>
      <c r="V922" s="35"/>
      <c r="W922" s="35"/>
      <c r="X922" s="35"/>
      <c r="Y922" s="35"/>
      <c r="Z922" s="35"/>
    </row>
    <row r="923" spans="2:26" x14ac:dyDescent="0.25">
      <c r="B923" s="5">
        <v>292</v>
      </c>
      <c r="C923" s="34">
        <v>45775</v>
      </c>
      <c r="D923" s="5" t="s">
        <v>321</v>
      </c>
      <c r="E923" s="36">
        <v>62.48</v>
      </c>
      <c r="F923" s="36">
        <f>E923-G923</f>
        <v>0</v>
      </c>
      <c r="G923" s="36">
        <v>62.48</v>
      </c>
      <c r="H923" s="34">
        <v>45779</v>
      </c>
      <c r="I923" s="34"/>
      <c r="J923" s="34">
        <v>45782</v>
      </c>
      <c r="K923" s="5" t="s">
        <v>367</v>
      </c>
      <c r="L923" s="34" t="s">
        <v>298</v>
      </c>
      <c r="Q923" s="41"/>
      <c r="R923" s="43"/>
      <c r="S923" s="42"/>
      <c r="T923" s="33">
        <v>62.48</v>
      </c>
      <c r="U923" s="35"/>
      <c r="V923" s="35"/>
      <c r="W923" s="35"/>
      <c r="X923" s="35"/>
      <c r="Y923" s="35"/>
      <c r="Z923" s="35"/>
    </row>
    <row r="924" spans="2:26" x14ac:dyDescent="0.25">
      <c r="B924" s="5">
        <v>193</v>
      </c>
      <c r="C924" s="34">
        <v>45736</v>
      </c>
      <c r="D924" s="5" t="s">
        <v>405</v>
      </c>
      <c r="E924" s="36">
        <v>6300</v>
      </c>
      <c r="F924" s="36">
        <f>E924-G924</f>
        <v>0</v>
      </c>
      <c r="G924" s="36">
        <v>6300</v>
      </c>
      <c r="H924" s="34">
        <v>45757</v>
      </c>
      <c r="I924" s="34"/>
      <c r="J924" s="34">
        <v>45785</v>
      </c>
      <c r="K924" s="34" t="s">
        <v>607</v>
      </c>
      <c r="L924" s="34" t="s">
        <v>298</v>
      </c>
      <c r="M924" s="34"/>
      <c r="N924" s="39" t="s">
        <v>606</v>
      </c>
      <c r="Q924" s="41"/>
      <c r="R924" s="43"/>
      <c r="S924" s="44"/>
      <c r="T924" s="49">
        <v>6300</v>
      </c>
      <c r="U924" s="35"/>
      <c r="V924" s="35"/>
      <c r="W924" s="35"/>
      <c r="X924" s="35"/>
      <c r="Y924" s="35"/>
      <c r="Z924" s="35"/>
    </row>
    <row r="925" spans="2:26" x14ac:dyDescent="0.25">
      <c r="B925" s="5">
        <v>303</v>
      </c>
      <c r="C925" s="34">
        <v>45782</v>
      </c>
      <c r="D925" s="5" t="s">
        <v>300</v>
      </c>
      <c r="E925" s="36">
        <v>47</v>
      </c>
      <c r="F925" s="36">
        <f>E925-G925</f>
        <v>0</v>
      </c>
      <c r="G925" s="36">
        <v>47</v>
      </c>
      <c r="H925" s="34">
        <v>45789</v>
      </c>
      <c r="I925" s="34"/>
      <c r="J925" s="34">
        <v>45785</v>
      </c>
      <c r="K925" s="34" t="s">
        <v>509</v>
      </c>
      <c r="L925" s="5" t="s">
        <v>298</v>
      </c>
      <c r="Q925" s="41"/>
      <c r="R925" s="43"/>
      <c r="S925" s="42"/>
      <c r="T925" s="35"/>
      <c r="U925" s="33">
        <v>47</v>
      </c>
      <c r="V925" s="35"/>
      <c r="W925" s="35"/>
      <c r="X925" s="35"/>
      <c r="Y925" s="35"/>
      <c r="Z925" s="35"/>
    </row>
    <row r="926" spans="2:26" x14ac:dyDescent="0.25">
      <c r="B926" s="5">
        <v>304</v>
      </c>
      <c r="C926" s="34">
        <v>45782</v>
      </c>
      <c r="D926" s="5" t="s">
        <v>300</v>
      </c>
      <c r="E926" s="36">
        <v>70</v>
      </c>
      <c r="F926" s="36">
        <f>E926-G926</f>
        <v>0</v>
      </c>
      <c r="G926" s="36">
        <v>70</v>
      </c>
      <c r="H926" s="34">
        <v>45789</v>
      </c>
      <c r="I926" s="34"/>
      <c r="J926" s="34">
        <v>45785</v>
      </c>
      <c r="K926" s="34" t="s">
        <v>424</v>
      </c>
      <c r="L926" s="5" t="s">
        <v>298</v>
      </c>
      <c r="Q926" s="41"/>
      <c r="R926" s="43"/>
      <c r="S926" s="42"/>
      <c r="T926" s="35"/>
      <c r="U926" s="33">
        <v>70</v>
      </c>
      <c r="V926" s="35"/>
      <c r="W926" s="35"/>
      <c r="X926" s="35"/>
      <c r="Y926" s="35"/>
      <c r="Z926" s="35"/>
    </row>
    <row r="927" spans="2:26" x14ac:dyDescent="0.25">
      <c r="B927" s="5">
        <v>151</v>
      </c>
      <c r="C927" s="34">
        <v>45726</v>
      </c>
      <c r="D927" s="5" t="s">
        <v>605</v>
      </c>
      <c r="E927" s="36">
        <v>156.5</v>
      </c>
      <c r="F927" s="36">
        <f>E927-G927</f>
        <v>0</v>
      </c>
      <c r="G927" s="36">
        <v>156.5</v>
      </c>
      <c r="H927" s="34">
        <v>45747</v>
      </c>
      <c r="I927" s="34"/>
      <c r="J927" s="34">
        <v>45782</v>
      </c>
      <c r="K927" s="5" t="s">
        <v>367</v>
      </c>
      <c r="L927" s="5" t="s">
        <v>298</v>
      </c>
      <c r="Q927" s="41"/>
      <c r="R927" s="81">
        <v>156.5</v>
      </c>
      <c r="S927" s="42"/>
      <c r="T927" s="35"/>
      <c r="U927" s="35"/>
      <c r="V927" s="35"/>
      <c r="W927" s="35"/>
      <c r="X927" s="35"/>
      <c r="Y927" s="35"/>
      <c r="Z927" s="35"/>
    </row>
    <row r="928" spans="2:26" x14ac:dyDescent="0.25">
      <c r="B928" s="5">
        <v>268</v>
      </c>
      <c r="C928" s="34">
        <v>45762</v>
      </c>
      <c r="D928" s="5" t="s">
        <v>604</v>
      </c>
      <c r="E928" s="36">
        <v>2459.38</v>
      </c>
      <c r="F928" s="36">
        <f>E928-G928</f>
        <v>0</v>
      </c>
      <c r="G928" s="36">
        <v>2459.38</v>
      </c>
      <c r="H928" s="34">
        <v>45786</v>
      </c>
      <c r="I928" s="34"/>
      <c r="J928" s="34">
        <v>45782</v>
      </c>
      <c r="K928" s="34" t="s">
        <v>603</v>
      </c>
      <c r="L928" s="34" t="s">
        <v>298</v>
      </c>
      <c r="Q928" s="41"/>
      <c r="R928" s="33">
        <v>2459.38</v>
      </c>
      <c r="S928" s="42"/>
      <c r="T928" s="35"/>
      <c r="U928" s="35"/>
      <c r="V928" s="35"/>
      <c r="W928" s="35"/>
      <c r="X928" s="35"/>
      <c r="Y928" s="35"/>
      <c r="Z928" s="35"/>
    </row>
    <row r="929" spans="2:26" x14ac:dyDescent="0.25">
      <c r="B929" s="5">
        <v>241</v>
      </c>
      <c r="C929" s="34">
        <v>45754</v>
      </c>
      <c r="D929" s="5" t="s">
        <v>314</v>
      </c>
      <c r="E929" s="36">
        <v>1588.8</v>
      </c>
      <c r="F929" s="36">
        <f>E929-G929</f>
        <v>0</v>
      </c>
      <c r="G929" s="36">
        <v>1588.8</v>
      </c>
      <c r="H929" s="34">
        <v>45777</v>
      </c>
      <c r="I929" s="34"/>
      <c r="J929" s="34">
        <v>45784</v>
      </c>
      <c r="K929" s="34" t="s">
        <v>313</v>
      </c>
      <c r="L929" s="5" t="s">
        <v>303</v>
      </c>
      <c r="M929" s="34" t="s">
        <v>308</v>
      </c>
      <c r="Q929" s="41"/>
      <c r="R929" s="43"/>
      <c r="S929" s="75">
        <v>1007.2</v>
      </c>
      <c r="T929" s="34">
        <v>581.6</v>
      </c>
      <c r="U929" s="35"/>
      <c r="V929" s="35"/>
      <c r="W929" s="35"/>
      <c r="X929" s="35"/>
      <c r="Y929" s="35"/>
      <c r="Z929" s="35"/>
    </row>
    <row r="930" spans="2:26" x14ac:dyDescent="0.25">
      <c r="B930" s="5">
        <v>294</v>
      </c>
      <c r="C930" s="34">
        <v>45775</v>
      </c>
      <c r="D930" s="5" t="s">
        <v>357</v>
      </c>
      <c r="E930" s="36">
        <v>28.8</v>
      </c>
      <c r="F930" s="36">
        <f>E930-G930</f>
        <v>0</v>
      </c>
      <c r="G930" s="36">
        <v>28.8</v>
      </c>
      <c r="H930" s="34">
        <v>45777</v>
      </c>
      <c r="I930" s="34"/>
      <c r="J930" s="34">
        <v>45784</v>
      </c>
      <c r="K930" s="34" t="s">
        <v>424</v>
      </c>
      <c r="L930" s="5" t="s">
        <v>298</v>
      </c>
      <c r="Q930" s="41"/>
      <c r="R930" s="43"/>
      <c r="S930" s="33">
        <v>28.8</v>
      </c>
      <c r="T930" s="35"/>
      <c r="U930" s="35"/>
      <c r="V930" s="35"/>
      <c r="W930" s="35"/>
      <c r="X930" s="35"/>
      <c r="Y930" s="35"/>
      <c r="Z930" s="35"/>
    </row>
    <row r="931" spans="2:26" x14ac:dyDescent="0.25">
      <c r="B931" s="5">
        <v>295</v>
      </c>
      <c r="C931" s="34">
        <v>45776</v>
      </c>
      <c r="D931" s="5" t="s">
        <v>357</v>
      </c>
      <c r="E931" s="36">
        <v>211.1</v>
      </c>
      <c r="F931" s="36">
        <f>E931-G931</f>
        <v>0</v>
      </c>
      <c r="G931" s="36">
        <v>211.1</v>
      </c>
      <c r="H931" s="34">
        <v>45782</v>
      </c>
      <c r="I931" s="34"/>
      <c r="J931" s="34">
        <v>45784</v>
      </c>
      <c r="K931" s="34" t="s">
        <v>313</v>
      </c>
      <c r="L931" s="34" t="s">
        <v>298</v>
      </c>
      <c r="Q931" s="41"/>
      <c r="R931" s="43"/>
      <c r="S931" s="42"/>
      <c r="T931" s="35"/>
      <c r="U931" s="33">
        <v>211.1</v>
      </c>
      <c r="V931" s="35"/>
      <c r="W931" s="35"/>
      <c r="X931" s="35"/>
      <c r="Y931" s="35"/>
      <c r="Z931" s="35"/>
    </row>
    <row r="932" spans="2:26" x14ac:dyDescent="0.25">
      <c r="B932" s="5">
        <v>298</v>
      </c>
      <c r="C932" s="34">
        <v>45776</v>
      </c>
      <c r="D932" s="5" t="s">
        <v>357</v>
      </c>
      <c r="E932" s="36">
        <v>714.68</v>
      </c>
      <c r="F932" s="36">
        <f>E932-G932</f>
        <v>0</v>
      </c>
      <c r="G932" s="36">
        <v>714.68</v>
      </c>
      <c r="H932" s="34">
        <v>45785</v>
      </c>
      <c r="I932" s="34"/>
      <c r="J932" s="34">
        <v>45784</v>
      </c>
      <c r="K932" s="34" t="s">
        <v>313</v>
      </c>
      <c r="L932" s="34" t="s">
        <v>298</v>
      </c>
      <c r="Q932" s="41"/>
      <c r="R932" s="43"/>
      <c r="S932" s="42"/>
      <c r="T932" s="35"/>
      <c r="U932" s="33">
        <v>714.68</v>
      </c>
      <c r="V932" s="35"/>
      <c r="W932" s="35"/>
      <c r="X932" s="35"/>
      <c r="Y932" s="35"/>
      <c r="Z932" s="35"/>
    </row>
    <row r="933" spans="2:26" x14ac:dyDescent="0.25">
      <c r="B933" s="5">
        <v>188</v>
      </c>
      <c r="C933" s="34">
        <v>45735</v>
      </c>
      <c r="D933" s="5" t="s">
        <v>183</v>
      </c>
      <c r="E933" s="36">
        <v>193.29</v>
      </c>
      <c r="F933" s="36">
        <f>E933-G933</f>
        <v>0</v>
      </c>
      <c r="G933" s="36">
        <v>193.29</v>
      </c>
      <c r="H933" s="34">
        <v>45747</v>
      </c>
      <c r="I933" s="34"/>
      <c r="J933" s="34">
        <v>45785</v>
      </c>
      <c r="K933" s="34" t="s">
        <v>534</v>
      </c>
      <c r="L933" s="5" t="s">
        <v>303</v>
      </c>
      <c r="Q933" s="41"/>
      <c r="R933" s="36">
        <v>179.04</v>
      </c>
      <c r="S933" s="42"/>
      <c r="T933" s="40">
        <v>14.25</v>
      </c>
      <c r="U933" s="35"/>
      <c r="V933" s="35"/>
      <c r="W933" s="35"/>
      <c r="X933" s="35"/>
      <c r="Y933" s="35"/>
      <c r="Z933" s="35"/>
    </row>
    <row r="934" spans="2:26" x14ac:dyDescent="0.25">
      <c r="B934" s="5">
        <v>310</v>
      </c>
      <c r="C934" s="34">
        <v>45783</v>
      </c>
      <c r="D934" s="5" t="s">
        <v>307</v>
      </c>
      <c r="E934" s="36">
        <v>15.34</v>
      </c>
      <c r="F934" s="36">
        <f>E934-G934</f>
        <v>0</v>
      </c>
      <c r="G934" s="36">
        <v>15.34</v>
      </c>
      <c r="H934" s="34">
        <v>45786</v>
      </c>
      <c r="I934" s="34"/>
      <c r="J934" s="34">
        <v>45785</v>
      </c>
      <c r="K934" s="34" t="s">
        <v>534</v>
      </c>
      <c r="Q934" s="41"/>
      <c r="R934" s="43"/>
      <c r="S934" s="42"/>
      <c r="T934" s="35"/>
      <c r="U934" s="35"/>
      <c r="V934" s="33">
        <v>15.34</v>
      </c>
      <c r="W934" s="35"/>
      <c r="X934" s="35"/>
      <c r="Y934" s="35"/>
      <c r="Z934" s="35"/>
    </row>
    <row r="935" spans="2:26" x14ac:dyDescent="0.25">
      <c r="B935" s="5">
        <v>174</v>
      </c>
      <c r="C935" s="34">
        <v>45730</v>
      </c>
      <c r="D935" s="5" t="s">
        <v>451</v>
      </c>
      <c r="E935" s="36">
        <v>180</v>
      </c>
      <c r="F935" s="36">
        <f>E935-G935</f>
        <v>0</v>
      </c>
      <c r="G935" s="36">
        <v>180</v>
      </c>
      <c r="H935" s="34">
        <v>45737</v>
      </c>
      <c r="I935" s="34"/>
      <c r="J935" s="34">
        <v>45786</v>
      </c>
      <c r="K935" s="34" t="s">
        <v>543</v>
      </c>
      <c r="L935" s="5" t="s">
        <v>303</v>
      </c>
      <c r="Q935" s="44"/>
      <c r="R935" s="36">
        <v>90</v>
      </c>
      <c r="S935" s="44"/>
      <c r="T935" s="36">
        <v>90</v>
      </c>
      <c r="U935" s="44"/>
      <c r="V935" s="44"/>
      <c r="W935" s="44"/>
      <c r="X935" s="44"/>
      <c r="Y935" s="44"/>
      <c r="Z935" s="44"/>
    </row>
    <row r="936" spans="2:26" x14ac:dyDescent="0.25">
      <c r="B936" s="5">
        <v>216</v>
      </c>
      <c r="C936" s="34">
        <v>45743</v>
      </c>
      <c r="D936" s="5" t="s">
        <v>602</v>
      </c>
      <c r="E936" s="36">
        <v>315.93</v>
      </c>
      <c r="F936" s="36">
        <f>E936-G936</f>
        <v>0</v>
      </c>
      <c r="G936" s="36">
        <v>315.93</v>
      </c>
      <c r="H936" s="34">
        <v>45749</v>
      </c>
      <c r="I936" s="34"/>
      <c r="J936" s="34">
        <v>45786</v>
      </c>
      <c r="K936" s="34" t="s">
        <v>601</v>
      </c>
      <c r="L936" s="34" t="s">
        <v>298</v>
      </c>
      <c r="Q936" s="41"/>
      <c r="R936" s="43"/>
      <c r="S936" s="75">
        <v>315.93</v>
      </c>
      <c r="T936" s="35"/>
      <c r="U936" s="35"/>
      <c r="V936" s="35"/>
      <c r="W936" s="35"/>
      <c r="X936" s="35"/>
      <c r="Y936" s="35"/>
      <c r="Z936" s="35"/>
    </row>
    <row r="937" spans="2:26" x14ac:dyDescent="0.25">
      <c r="B937" s="5">
        <v>204</v>
      </c>
      <c r="C937" s="34">
        <v>45741</v>
      </c>
      <c r="D937" s="5" t="s">
        <v>257</v>
      </c>
      <c r="E937" s="36">
        <v>1460.1</v>
      </c>
      <c r="F937" s="36">
        <f>E937-G937</f>
        <v>0</v>
      </c>
      <c r="G937" s="36">
        <v>1460.1</v>
      </c>
      <c r="H937" s="34">
        <v>45777</v>
      </c>
      <c r="I937" s="34"/>
      <c r="J937" s="34">
        <v>45786</v>
      </c>
      <c r="K937" s="34" t="s">
        <v>373</v>
      </c>
      <c r="L937" s="34" t="s">
        <v>298</v>
      </c>
      <c r="M937" s="34"/>
      <c r="N937" s="39" t="s">
        <v>600</v>
      </c>
      <c r="Q937" s="41"/>
      <c r="R937" s="54"/>
      <c r="S937" s="75">
        <v>1460.1</v>
      </c>
      <c r="T937" s="35"/>
      <c r="U937" s="35"/>
      <c r="V937" s="35"/>
      <c r="W937" s="35"/>
      <c r="X937" s="35"/>
      <c r="Y937" s="35"/>
      <c r="Z937" s="35"/>
    </row>
    <row r="938" spans="2:26" x14ac:dyDescent="0.25">
      <c r="B938" s="5">
        <v>277</v>
      </c>
      <c r="C938" s="34">
        <v>45764</v>
      </c>
      <c r="D938" s="5" t="s">
        <v>23</v>
      </c>
      <c r="E938" s="36">
        <v>5270.34</v>
      </c>
      <c r="F938" s="36">
        <f>E938-G938</f>
        <v>0</v>
      </c>
      <c r="G938" s="36">
        <v>5270.34</v>
      </c>
      <c r="H938" s="34">
        <v>45777</v>
      </c>
      <c r="I938" s="34"/>
      <c r="J938" s="34">
        <v>45789</v>
      </c>
      <c r="K938" s="34" t="s">
        <v>313</v>
      </c>
      <c r="L938" s="5" t="s">
        <v>303</v>
      </c>
      <c r="M938" s="5" t="s">
        <v>308</v>
      </c>
      <c r="N938" s="39" t="s">
        <v>599</v>
      </c>
      <c r="Q938" s="41"/>
      <c r="R938" s="43"/>
      <c r="S938" s="75">
        <v>4833.24</v>
      </c>
      <c r="T938" s="51">
        <v>437.1</v>
      </c>
      <c r="U938" s="35"/>
      <c r="V938" s="35"/>
      <c r="W938" s="35"/>
      <c r="X938" s="35"/>
      <c r="Y938" s="35"/>
      <c r="Z938" s="35"/>
    </row>
    <row r="939" spans="2:26" x14ac:dyDescent="0.25">
      <c r="B939" s="5">
        <v>309</v>
      </c>
      <c r="C939" s="34">
        <v>45783</v>
      </c>
      <c r="D939" s="5" t="s">
        <v>300</v>
      </c>
      <c r="E939" s="33">
        <v>300</v>
      </c>
      <c r="F939" s="33">
        <f>E939-G939</f>
        <v>0</v>
      </c>
      <c r="G939" s="33">
        <v>300</v>
      </c>
      <c r="H939" s="34">
        <v>45790</v>
      </c>
      <c r="I939" s="34"/>
      <c r="J939" s="34">
        <v>45789</v>
      </c>
      <c r="K939" s="34" t="s">
        <v>598</v>
      </c>
      <c r="L939" s="5" t="s">
        <v>298</v>
      </c>
      <c r="Q939" s="41"/>
      <c r="R939" s="43"/>
      <c r="S939" s="42"/>
      <c r="T939" s="35"/>
      <c r="U939" s="33">
        <v>300</v>
      </c>
      <c r="V939" s="35"/>
      <c r="W939" s="35"/>
      <c r="X939" s="35"/>
      <c r="Y939" s="35"/>
      <c r="Z939" s="35"/>
    </row>
    <row r="940" spans="2:26" x14ac:dyDescent="0.25">
      <c r="B940" s="5">
        <v>315</v>
      </c>
      <c r="C940" s="34">
        <v>45784</v>
      </c>
      <c r="D940" s="5" t="s">
        <v>477</v>
      </c>
      <c r="E940" s="33">
        <v>390</v>
      </c>
      <c r="F940" s="33">
        <f>E940-G940</f>
        <v>0</v>
      </c>
      <c r="G940" s="33">
        <v>390</v>
      </c>
      <c r="H940" s="34">
        <v>45798</v>
      </c>
      <c r="I940" s="34"/>
      <c r="J940" s="34">
        <v>45789</v>
      </c>
      <c r="K940" s="34" t="s">
        <v>597</v>
      </c>
      <c r="L940" s="34" t="s">
        <v>298</v>
      </c>
      <c r="Q940" s="41"/>
      <c r="R940" s="43"/>
      <c r="S940" s="42"/>
      <c r="T940" s="33">
        <v>390</v>
      </c>
      <c r="U940" s="35"/>
      <c r="V940" s="35"/>
      <c r="W940" s="35"/>
      <c r="X940" s="35"/>
      <c r="Y940" s="35"/>
      <c r="Z940" s="35"/>
    </row>
    <row r="941" spans="2:26" x14ac:dyDescent="0.25">
      <c r="B941" s="5">
        <v>318</v>
      </c>
      <c r="C941" s="34">
        <v>45785</v>
      </c>
      <c r="D941" s="5" t="s">
        <v>307</v>
      </c>
      <c r="E941" s="33">
        <v>83.21</v>
      </c>
      <c r="F941" s="33">
        <f>E941-G941</f>
        <v>0</v>
      </c>
      <c r="G941" s="33">
        <v>83.21</v>
      </c>
      <c r="H941" s="34">
        <v>45786</v>
      </c>
      <c r="I941" s="34"/>
      <c r="J941" s="34">
        <v>45786</v>
      </c>
      <c r="K941" s="34" t="s">
        <v>534</v>
      </c>
      <c r="L941" s="34" t="s">
        <v>298</v>
      </c>
      <c r="Q941" s="41"/>
      <c r="R941" s="43"/>
      <c r="S941" s="42"/>
      <c r="T941" s="35"/>
      <c r="U941" s="35"/>
      <c r="V941" s="33">
        <v>83.21</v>
      </c>
      <c r="W941" s="35"/>
      <c r="X941" s="35"/>
      <c r="Y941" s="35"/>
      <c r="Z941" s="35"/>
    </row>
    <row r="942" spans="2:26" x14ac:dyDescent="0.25">
      <c r="B942" s="5">
        <v>320</v>
      </c>
      <c r="C942" s="34">
        <v>45786</v>
      </c>
      <c r="D942" s="5" t="s">
        <v>300</v>
      </c>
      <c r="E942" s="33">
        <v>47.5</v>
      </c>
      <c r="F942" s="33">
        <f>E942-G942</f>
        <v>0</v>
      </c>
      <c r="G942" s="33">
        <v>47.5</v>
      </c>
      <c r="H942" s="34">
        <v>45793</v>
      </c>
      <c r="I942" s="34"/>
      <c r="J942" s="34">
        <v>45791</v>
      </c>
      <c r="K942" s="5" t="s">
        <v>596</v>
      </c>
      <c r="L942" s="5" t="s">
        <v>298</v>
      </c>
      <c r="Q942" s="44"/>
      <c r="R942" s="44"/>
      <c r="S942" s="44"/>
      <c r="T942" s="44"/>
      <c r="U942" s="33">
        <v>47.5</v>
      </c>
      <c r="V942" s="44"/>
      <c r="W942" s="44"/>
      <c r="X942" s="44"/>
      <c r="Y942" s="44"/>
      <c r="Z942" s="44"/>
    </row>
    <row r="943" spans="2:26" x14ac:dyDescent="0.25">
      <c r="B943" s="79">
        <v>290</v>
      </c>
      <c r="C943" s="78">
        <v>45771</v>
      </c>
      <c r="D943" s="79" t="s">
        <v>374</v>
      </c>
      <c r="E943" s="80">
        <v>530</v>
      </c>
      <c r="F943" s="80">
        <f>E943-G943</f>
        <v>0</v>
      </c>
      <c r="G943" s="80">
        <v>530</v>
      </c>
      <c r="H943" s="78">
        <v>45799</v>
      </c>
      <c r="I943" s="78"/>
      <c r="J943" s="79" t="s">
        <v>595</v>
      </c>
      <c r="K943" s="78" t="s">
        <v>424</v>
      </c>
      <c r="L943" s="77" t="s">
        <v>594</v>
      </c>
      <c r="N943" s="45" t="s">
        <v>594</v>
      </c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2:26" x14ac:dyDescent="0.25">
      <c r="B944" s="5">
        <v>281</v>
      </c>
      <c r="C944" s="34">
        <v>45769</v>
      </c>
      <c r="D944" s="5" t="s">
        <v>405</v>
      </c>
      <c r="E944" s="36">
        <v>1900</v>
      </c>
      <c r="F944" s="36">
        <f>E944-G944</f>
        <v>0</v>
      </c>
      <c r="G944" s="36">
        <v>1900</v>
      </c>
      <c r="H944" s="34">
        <v>45786</v>
      </c>
      <c r="I944" s="34"/>
      <c r="J944" s="34">
        <v>45792</v>
      </c>
      <c r="K944" s="34" t="s">
        <v>545</v>
      </c>
      <c r="L944" s="34" t="s">
        <v>298</v>
      </c>
      <c r="M944" s="34"/>
      <c r="N944" s="39" t="s">
        <v>593</v>
      </c>
      <c r="Q944" s="41"/>
      <c r="R944" s="43"/>
      <c r="S944" s="42"/>
      <c r="T944" s="33">
        <v>1900</v>
      </c>
      <c r="U944" s="35"/>
      <c r="V944" s="35"/>
      <c r="W944" s="35"/>
      <c r="X944" s="35"/>
      <c r="Y944" s="35"/>
      <c r="Z944" s="35"/>
    </row>
    <row r="945" spans="2:26" x14ac:dyDescent="0.25">
      <c r="B945" s="5">
        <v>312</v>
      </c>
      <c r="C945" s="34">
        <v>45783</v>
      </c>
      <c r="D945" s="5" t="s">
        <v>476</v>
      </c>
      <c r="E945" s="33">
        <v>343</v>
      </c>
      <c r="F945" s="33">
        <f>E945-G945</f>
        <v>0</v>
      </c>
      <c r="G945" s="33">
        <v>343</v>
      </c>
      <c r="H945" s="34">
        <v>45790</v>
      </c>
      <c r="I945" s="34"/>
      <c r="J945" s="34">
        <v>45791</v>
      </c>
      <c r="K945" s="34" t="s">
        <v>534</v>
      </c>
      <c r="L945" s="34" t="s">
        <v>298</v>
      </c>
      <c r="Q945" s="41"/>
      <c r="R945" s="43"/>
      <c r="S945" s="42"/>
      <c r="T945" s="33">
        <v>343</v>
      </c>
      <c r="U945" s="35"/>
      <c r="V945" s="35"/>
      <c r="W945" s="35"/>
      <c r="X945" s="35"/>
      <c r="Y945" s="35"/>
      <c r="Z945" s="35"/>
    </row>
    <row r="946" spans="2:26" x14ac:dyDescent="0.25">
      <c r="B946" s="5">
        <v>306</v>
      </c>
      <c r="C946" s="34">
        <v>45782</v>
      </c>
      <c r="D946" s="5" t="s">
        <v>436</v>
      </c>
      <c r="E946" s="36">
        <v>216</v>
      </c>
      <c r="F946" s="36">
        <f>E946-G946</f>
        <v>0</v>
      </c>
      <c r="G946" s="36">
        <v>216</v>
      </c>
      <c r="H946" s="34">
        <v>45789</v>
      </c>
      <c r="I946" s="34"/>
      <c r="J946" s="34">
        <v>45791</v>
      </c>
      <c r="K946" s="34" t="s">
        <v>424</v>
      </c>
      <c r="L946" s="34" t="s">
        <v>298</v>
      </c>
      <c r="M946" s="34"/>
      <c r="N946" s="34" t="s">
        <v>592</v>
      </c>
      <c r="Q946" s="41"/>
      <c r="R946" s="43"/>
      <c r="S946" s="42"/>
      <c r="T946" s="35"/>
      <c r="U946" s="33">
        <v>216</v>
      </c>
      <c r="V946" s="35"/>
      <c r="W946" s="35"/>
      <c r="X946" s="35"/>
      <c r="Y946" s="35"/>
      <c r="Z946" s="35"/>
    </row>
    <row r="947" spans="2:26" x14ac:dyDescent="0.25">
      <c r="B947" s="5">
        <v>267</v>
      </c>
      <c r="C947" s="34">
        <v>45762</v>
      </c>
      <c r="D947" s="5" t="s">
        <v>404</v>
      </c>
      <c r="E947" s="36">
        <v>4552.8</v>
      </c>
      <c r="F947" s="36">
        <f>E947-G947</f>
        <v>0</v>
      </c>
      <c r="G947" s="36">
        <v>4552.8</v>
      </c>
      <c r="H947" s="34">
        <v>45793</v>
      </c>
      <c r="I947" s="34"/>
      <c r="J947" s="34">
        <v>45791</v>
      </c>
      <c r="K947" s="34" t="s">
        <v>313</v>
      </c>
      <c r="L947" s="34" t="s">
        <v>298</v>
      </c>
      <c r="Q947" s="41"/>
      <c r="R947" s="43"/>
      <c r="S947" s="42"/>
      <c r="T947" s="33">
        <v>4552.8</v>
      </c>
      <c r="U947" s="35"/>
      <c r="V947" s="35"/>
      <c r="W947" s="35"/>
      <c r="X947" s="35"/>
      <c r="Y947" s="35"/>
      <c r="Z947" s="35"/>
    </row>
    <row r="948" spans="2:26" x14ac:dyDescent="0.25">
      <c r="B948" s="5">
        <v>296</v>
      </c>
      <c r="C948" s="34">
        <v>45776</v>
      </c>
      <c r="D948" s="5" t="s">
        <v>591</v>
      </c>
      <c r="E948" s="36">
        <v>50</v>
      </c>
      <c r="F948" s="36">
        <f>E948-G948</f>
        <v>0</v>
      </c>
      <c r="G948" s="36">
        <v>50</v>
      </c>
      <c r="H948" s="34">
        <v>45786</v>
      </c>
      <c r="I948" s="34"/>
      <c r="J948" s="34">
        <v>45798</v>
      </c>
      <c r="K948" s="34" t="s">
        <v>367</v>
      </c>
      <c r="L948" s="34" t="s">
        <v>298</v>
      </c>
      <c r="M948" s="34"/>
      <c r="N948" s="39" t="s">
        <v>590</v>
      </c>
      <c r="Q948" s="41"/>
      <c r="R948" s="43"/>
      <c r="S948" s="42"/>
      <c r="T948" s="33">
        <v>50</v>
      </c>
      <c r="U948" s="35"/>
      <c r="V948" s="35"/>
      <c r="W948" s="35"/>
      <c r="X948" s="35"/>
      <c r="Y948" s="35"/>
      <c r="Z948" s="35"/>
    </row>
    <row r="949" spans="2:26" x14ac:dyDescent="0.25">
      <c r="B949" s="5">
        <v>336</v>
      </c>
      <c r="C949" s="34">
        <v>45796</v>
      </c>
      <c r="D949" s="5" t="s">
        <v>307</v>
      </c>
      <c r="E949" s="36">
        <v>7.87</v>
      </c>
      <c r="F949" s="36">
        <f>E949-G949</f>
        <v>0</v>
      </c>
      <c r="G949" s="36">
        <v>7.87</v>
      </c>
      <c r="H949" s="34">
        <v>45798</v>
      </c>
      <c r="I949" s="34"/>
      <c r="J949" s="34">
        <v>45798</v>
      </c>
      <c r="K949" s="34" t="s">
        <v>424</v>
      </c>
      <c r="L949" s="34" t="s">
        <v>298</v>
      </c>
      <c r="Q949" s="41"/>
      <c r="R949" s="43"/>
      <c r="S949" s="42"/>
      <c r="T949" s="35"/>
      <c r="U949" s="35"/>
      <c r="V949" s="33">
        <v>7.87</v>
      </c>
      <c r="W949" s="35"/>
      <c r="X949" s="35"/>
      <c r="Y949" s="35"/>
      <c r="Z949" s="35"/>
    </row>
    <row r="950" spans="2:26" x14ac:dyDescent="0.25">
      <c r="B950" s="5">
        <v>128</v>
      </c>
      <c r="C950" s="34">
        <v>45715</v>
      </c>
      <c r="D950" s="5" t="s">
        <v>158</v>
      </c>
      <c r="E950" s="36">
        <v>3175</v>
      </c>
      <c r="F950" s="36">
        <f>E950-G950</f>
        <v>0</v>
      </c>
      <c r="G950" s="36">
        <v>3175</v>
      </c>
      <c r="H950" s="34">
        <v>45777</v>
      </c>
      <c r="I950" s="34"/>
      <c r="J950" s="34">
        <v>45798</v>
      </c>
      <c r="K950" s="5" t="s">
        <v>445</v>
      </c>
      <c r="L950" s="5" t="s">
        <v>298</v>
      </c>
      <c r="N950" s="45" t="s">
        <v>355</v>
      </c>
      <c r="Q950" s="41"/>
      <c r="R950" s="44"/>
      <c r="S950" s="76"/>
      <c r="T950" s="35"/>
      <c r="U950" s="35"/>
      <c r="V950" s="35"/>
      <c r="W950" s="35"/>
      <c r="X950" s="35"/>
      <c r="Y950" s="35"/>
      <c r="Z950" s="35"/>
    </row>
    <row r="951" spans="2:26" x14ac:dyDescent="0.25">
      <c r="B951" s="5">
        <v>299</v>
      </c>
      <c r="C951" s="34">
        <v>45776</v>
      </c>
      <c r="D951" s="5" t="s">
        <v>412</v>
      </c>
      <c r="E951" s="36">
        <v>249.8</v>
      </c>
      <c r="F951" s="36">
        <f>E951-G951</f>
        <v>0</v>
      </c>
      <c r="G951" s="36">
        <v>249.8</v>
      </c>
      <c r="H951" s="34">
        <v>45787</v>
      </c>
      <c r="I951" s="34"/>
      <c r="J951" s="34">
        <v>45796</v>
      </c>
      <c r="K951" s="34" t="s">
        <v>313</v>
      </c>
      <c r="L951" s="5" t="s">
        <v>298</v>
      </c>
      <c r="Q951" s="41"/>
      <c r="R951" s="43"/>
      <c r="S951" s="42"/>
      <c r="T951" s="33">
        <v>249.8</v>
      </c>
      <c r="U951" s="35"/>
      <c r="V951" s="35"/>
      <c r="W951" s="35"/>
      <c r="X951" s="35"/>
      <c r="Y951" s="35"/>
      <c r="Z951" s="35"/>
    </row>
    <row r="952" spans="2:26" x14ac:dyDescent="0.25">
      <c r="B952" s="5">
        <v>209</v>
      </c>
      <c r="C952" s="34">
        <v>45742</v>
      </c>
      <c r="D952" s="5" t="s">
        <v>589</v>
      </c>
      <c r="E952" s="36">
        <v>2765.91</v>
      </c>
      <c r="F952" s="36">
        <f>E952-G952</f>
        <v>0</v>
      </c>
      <c r="G952" s="36">
        <v>2765.91</v>
      </c>
      <c r="H952" s="34">
        <v>45782</v>
      </c>
      <c r="I952" s="34"/>
      <c r="J952" s="34">
        <v>45797</v>
      </c>
      <c r="K952" s="34" t="s">
        <v>534</v>
      </c>
      <c r="L952" s="34" t="s">
        <v>298</v>
      </c>
      <c r="M952" s="34"/>
      <c r="N952" s="45" t="s">
        <v>355</v>
      </c>
      <c r="Q952" s="76"/>
      <c r="R952" s="43"/>
      <c r="S952" s="42"/>
      <c r="T952" s="35"/>
      <c r="U952" s="35"/>
      <c r="V952" s="35"/>
      <c r="W952" s="35"/>
      <c r="X952" s="35"/>
      <c r="Y952" s="35"/>
      <c r="Z952" s="35"/>
    </row>
    <row r="953" spans="2:26" x14ac:dyDescent="0.25">
      <c r="B953" s="5">
        <v>334</v>
      </c>
      <c r="C953" s="34">
        <v>45796</v>
      </c>
      <c r="D953" s="5" t="s">
        <v>491</v>
      </c>
      <c r="E953" s="36">
        <v>14.5</v>
      </c>
      <c r="F953" s="36">
        <f>E953-G953</f>
        <v>0</v>
      </c>
      <c r="G953" s="36">
        <v>14.5</v>
      </c>
      <c r="H953" s="34">
        <v>45799</v>
      </c>
      <c r="I953" s="34"/>
      <c r="J953" s="34">
        <v>45797</v>
      </c>
      <c r="K953" s="34" t="s">
        <v>424</v>
      </c>
      <c r="L953" s="34" t="s">
        <v>298</v>
      </c>
      <c r="Q953" s="41"/>
      <c r="R953" s="43"/>
      <c r="S953" s="42"/>
      <c r="T953" s="33">
        <v>14.5</v>
      </c>
      <c r="U953" s="35"/>
      <c r="V953" s="35"/>
      <c r="W953" s="35"/>
      <c r="X953" s="35"/>
      <c r="Y953" s="35"/>
      <c r="Z953" s="35"/>
    </row>
    <row r="954" spans="2:26" x14ac:dyDescent="0.25">
      <c r="B954" s="5">
        <v>335</v>
      </c>
      <c r="C954" s="34">
        <v>45796</v>
      </c>
      <c r="D954" s="5" t="s">
        <v>491</v>
      </c>
      <c r="E954" s="36">
        <v>51.5</v>
      </c>
      <c r="F954" s="36">
        <f>E954-G954</f>
        <v>0</v>
      </c>
      <c r="G954" s="36">
        <v>51.5</v>
      </c>
      <c r="H954" s="34">
        <v>45799</v>
      </c>
      <c r="I954" s="34"/>
      <c r="J954" s="34">
        <v>45797</v>
      </c>
      <c r="K954" s="34" t="s">
        <v>543</v>
      </c>
      <c r="L954" s="34" t="s">
        <v>298</v>
      </c>
      <c r="Q954" s="41"/>
      <c r="R954" s="43"/>
      <c r="S954" s="42"/>
      <c r="T954" s="40">
        <v>51.5</v>
      </c>
      <c r="U954" s="35"/>
      <c r="V954" s="35"/>
      <c r="W954" s="35"/>
      <c r="X954" s="35"/>
      <c r="Y954" s="35"/>
      <c r="Z954" s="35"/>
    </row>
    <row r="955" spans="2:26" x14ac:dyDescent="0.25">
      <c r="B955" s="5">
        <v>285</v>
      </c>
      <c r="C955" s="34">
        <v>45770</v>
      </c>
      <c r="D955" s="5" t="s">
        <v>588</v>
      </c>
      <c r="E955" s="36">
        <v>822.5</v>
      </c>
      <c r="F955" s="36">
        <f>E955-G955</f>
        <v>0</v>
      </c>
      <c r="G955" s="36">
        <v>822.5</v>
      </c>
      <c r="H955" s="34">
        <v>45789</v>
      </c>
      <c r="I955" s="34"/>
      <c r="J955" s="34">
        <v>45797</v>
      </c>
      <c r="K955" s="34" t="s">
        <v>424</v>
      </c>
      <c r="L955" s="5" t="s">
        <v>309</v>
      </c>
      <c r="M955" s="5" t="s">
        <v>308</v>
      </c>
      <c r="Q955" s="41"/>
      <c r="R955" s="43"/>
      <c r="S955" s="42"/>
      <c r="T955" s="35"/>
      <c r="U955" s="33">
        <v>822.5</v>
      </c>
      <c r="V955" s="35"/>
      <c r="W955" s="35"/>
      <c r="X955" s="35"/>
      <c r="Y955" s="35"/>
      <c r="Z955" s="35"/>
    </row>
    <row r="956" spans="2:26" x14ac:dyDescent="0.25">
      <c r="B956" s="5">
        <v>323</v>
      </c>
      <c r="C956" s="34">
        <v>45790</v>
      </c>
      <c r="D956" s="5" t="s">
        <v>463</v>
      </c>
      <c r="E956" s="36">
        <v>2400</v>
      </c>
      <c r="F956" s="36">
        <f>E956-G956</f>
        <v>0</v>
      </c>
      <c r="G956" s="36">
        <v>2400</v>
      </c>
      <c r="H956" s="34">
        <v>45800</v>
      </c>
      <c r="I956" s="34"/>
      <c r="J956" s="34">
        <v>45792</v>
      </c>
      <c r="K956" s="34" t="s">
        <v>348</v>
      </c>
      <c r="L956" s="34" t="s">
        <v>298</v>
      </c>
      <c r="Q956" s="41"/>
      <c r="R956" s="41"/>
      <c r="S956" s="33">
        <v>2400</v>
      </c>
      <c r="T956" s="41"/>
      <c r="U956" s="41"/>
      <c r="V956" s="41"/>
      <c r="W956" s="41"/>
      <c r="X956" s="41"/>
      <c r="Y956" s="41"/>
      <c r="Z956" s="41"/>
    </row>
    <row r="957" spans="2:26" x14ac:dyDescent="0.25">
      <c r="B957" s="5">
        <v>300</v>
      </c>
      <c r="C957" s="34">
        <v>45776</v>
      </c>
      <c r="D957" s="5" t="s">
        <v>587</v>
      </c>
      <c r="E957" s="36">
        <v>9180</v>
      </c>
      <c r="F957" s="36">
        <f>E957-G957</f>
        <v>0</v>
      </c>
      <c r="G957" s="36">
        <v>9180</v>
      </c>
      <c r="H957" s="34">
        <v>45797</v>
      </c>
      <c r="I957" s="34"/>
      <c r="K957" s="34" t="s">
        <v>348</v>
      </c>
      <c r="L957" s="34" t="s">
        <v>298</v>
      </c>
      <c r="N957" s="45" t="s">
        <v>355</v>
      </c>
      <c r="Q957" s="76"/>
      <c r="R957" s="43"/>
      <c r="S957" s="42"/>
      <c r="T957" s="35"/>
      <c r="U957" s="35"/>
      <c r="V957" s="35"/>
      <c r="W957" s="35"/>
      <c r="X957" s="35"/>
      <c r="Y957" s="35"/>
      <c r="Z957" s="35"/>
    </row>
    <row r="958" spans="2:26" x14ac:dyDescent="0.25">
      <c r="B958" s="5">
        <v>301</v>
      </c>
      <c r="C958" s="34">
        <v>45776</v>
      </c>
      <c r="D958" s="5" t="s">
        <v>587</v>
      </c>
      <c r="E958" s="36">
        <v>20314.8</v>
      </c>
      <c r="F958" s="36">
        <f>E958-G958</f>
        <v>0</v>
      </c>
      <c r="G958" s="36">
        <v>20314.8</v>
      </c>
      <c r="H958" s="34">
        <v>45797</v>
      </c>
      <c r="I958" s="34"/>
      <c r="K958" s="34" t="s">
        <v>348</v>
      </c>
      <c r="L958" s="34" t="s">
        <v>298</v>
      </c>
      <c r="N958" s="45" t="s">
        <v>355</v>
      </c>
      <c r="Q958" s="76"/>
      <c r="R958" s="43"/>
      <c r="S958" s="42"/>
      <c r="T958" s="35"/>
      <c r="U958" s="35"/>
      <c r="V958" s="35"/>
      <c r="W958" s="35"/>
      <c r="X958" s="35"/>
      <c r="Y958" s="35"/>
      <c r="Z958" s="35"/>
    </row>
    <row r="959" spans="2:26" x14ac:dyDescent="0.25">
      <c r="B959" s="5">
        <v>317</v>
      </c>
      <c r="C959" s="34">
        <v>45785</v>
      </c>
      <c r="D959" s="5" t="s">
        <v>436</v>
      </c>
      <c r="E959" s="36">
        <v>150</v>
      </c>
      <c r="F959" s="36">
        <f>E959-G959</f>
        <v>0</v>
      </c>
      <c r="G959" s="36">
        <v>150</v>
      </c>
      <c r="H959" s="34">
        <v>45792</v>
      </c>
      <c r="I959" s="34"/>
      <c r="J959" s="34">
        <v>45798</v>
      </c>
      <c r="K959" s="34" t="s">
        <v>424</v>
      </c>
      <c r="L959" s="5" t="s">
        <v>298</v>
      </c>
      <c r="Q959" s="35"/>
      <c r="R959" s="35"/>
      <c r="S959" s="35"/>
      <c r="T959" s="35"/>
      <c r="U959" s="33">
        <v>150</v>
      </c>
      <c r="V959" s="35"/>
      <c r="W959" s="35"/>
      <c r="X959" s="35"/>
      <c r="Y959" s="35"/>
      <c r="Z959" s="35"/>
    </row>
    <row r="960" spans="2:26" x14ac:dyDescent="0.25">
      <c r="B960" s="5">
        <v>330</v>
      </c>
      <c r="C960" s="34">
        <v>45792</v>
      </c>
      <c r="D960" s="5" t="s">
        <v>470</v>
      </c>
      <c r="E960" s="36">
        <v>2925</v>
      </c>
      <c r="F960" s="36">
        <f>E960-G960</f>
        <v>0</v>
      </c>
      <c r="G960" s="36">
        <v>2925</v>
      </c>
      <c r="H960" s="34">
        <v>45800</v>
      </c>
      <c r="I960" s="34"/>
      <c r="J960" s="34">
        <v>45798</v>
      </c>
      <c r="K960" s="34" t="s">
        <v>586</v>
      </c>
      <c r="L960" s="34" t="s">
        <v>298</v>
      </c>
      <c r="Q960" s="42"/>
      <c r="R960" s="42"/>
      <c r="S960" s="42"/>
      <c r="T960" s="33">
        <v>2925</v>
      </c>
      <c r="U960" s="42"/>
      <c r="V960" s="42"/>
      <c r="W960" s="42"/>
      <c r="X960" s="42"/>
      <c r="Y960" s="42"/>
      <c r="Z960" s="42"/>
    </row>
    <row r="961" spans="2:27" x14ac:dyDescent="0.25">
      <c r="B961" s="5">
        <v>331</v>
      </c>
      <c r="C961" s="34">
        <v>45792</v>
      </c>
      <c r="D961" s="5" t="s">
        <v>23</v>
      </c>
      <c r="E961" s="36">
        <v>113</v>
      </c>
      <c r="F961" s="36">
        <f>E961-G961</f>
        <v>0</v>
      </c>
      <c r="G961" s="36">
        <v>113</v>
      </c>
      <c r="H961" s="34">
        <v>45796</v>
      </c>
      <c r="I961" s="34"/>
      <c r="J961" s="34">
        <v>45798</v>
      </c>
      <c r="K961" s="34" t="s">
        <v>313</v>
      </c>
      <c r="L961" s="34" t="s">
        <v>298</v>
      </c>
      <c r="Q961" s="41"/>
      <c r="R961" s="43"/>
      <c r="S961" s="42"/>
      <c r="T961" s="33">
        <v>113</v>
      </c>
      <c r="U961" s="35"/>
      <c r="V961" s="35"/>
      <c r="W961" s="35"/>
      <c r="X961" s="35"/>
      <c r="Y961" s="35"/>
      <c r="Z961" s="35"/>
    </row>
    <row r="962" spans="2:27" x14ac:dyDescent="0.25">
      <c r="B962" s="5">
        <v>181</v>
      </c>
      <c r="C962" s="34">
        <v>45730</v>
      </c>
      <c r="D962" s="5" t="s">
        <v>540</v>
      </c>
      <c r="E962" s="36">
        <v>793.53</v>
      </c>
      <c r="F962" s="36">
        <f>E962-G962</f>
        <v>0</v>
      </c>
      <c r="G962" s="36">
        <v>793.53</v>
      </c>
      <c r="H962" s="34">
        <v>45807</v>
      </c>
      <c r="I962" s="34"/>
      <c r="J962" s="34">
        <v>45798</v>
      </c>
      <c r="K962" s="34" t="s">
        <v>585</v>
      </c>
      <c r="L962" s="34" t="s">
        <v>298</v>
      </c>
      <c r="Q962" s="41"/>
      <c r="R962" s="43"/>
      <c r="S962" s="42"/>
      <c r="T962" s="33">
        <v>793.53</v>
      </c>
      <c r="U962" s="35"/>
      <c r="V962" s="35"/>
      <c r="W962" s="35"/>
      <c r="X962" s="35"/>
      <c r="Y962" s="35"/>
      <c r="Z962" s="35"/>
    </row>
    <row r="963" spans="2:27" x14ac:dyDescent="0.25">
      <c r="B963" s="5">
        <v>291</v>
      </c>
      <c r="C963" s="34">
        <v>45775</v>
      </c>
      <c r="D963" s="5" t="s">
        <v>567</v>
      </c>
      <c r="E963" s="36">
        <v>900</v>
      </c>
      <c r="F963" s="36">
        <f>E963-G963</f>
        <v>0</v>
      </c>
      <c r="G963" s="36">
        <v>900</v>
      </c>
      <c r="H963" s="34">
        <v>45789</v>
      </c>
      <c r="I963" s="34"/>
      <c r="J963" s="34">
        <v>45800</v>
      </c>
      <c r="K963" s="34" t="s">
        <v>342</v>
      </c>
      <c r="L963" s="5" t="s">
        <v>309</v>
      </c>
      <c r="M963" s="5" t="s">
        <v>350</v>
      </c>
      <c r="N963" s="39" t="s">
        <v>584</v>
      </c>
      <c r="Q963" s="42"/>
      <c r="R963" s="42"/>
      <c r="S963" s="42"/>
      <c r="T963" s="42"/>
      <c r="U963" s="36">
        <v>900</v>
      </c>
      <c r="V963" s="42"/>
      <c r="W963" s="42"/>
      <c r="X963" s="42"/>
      <c r="Y963" s="42"/>
      <c r="Z963" s="42"/>
    </row>
    <row r="964" spans="2:27" x14ac:dyDescent="0.25">
      <c r="B964" s="5">
        <v>342</v>
      </c>
      <c r="C964" s="34">
        <v>45797</v>
      </c>
      <c r="D964" s="5" t="s">
        <v>307</v>
      </c>
      <c r="E964" s="36">
        <v>104.65</v>
      </c>
      <c r="F964" s="36">
        <f>E964-G964</f>
        <v>0</v>
      </c>
      <c r="G964" s="36">
        <v>104.65</v>
      </c>
      <c r="H964" s="34">
        <v>45799</v>
      </c>
      <c r="I964" s="34"/>
      <c r="J964" s="34">
        <v>45800</v>
      </c>
      <c r="K964" s="34" t="s">
        <v>543</v>
      </c>
      <c r="L964" s="34" t="s">
        <v>298</v>
      </c>
      <c r="Q964" s="41"/>
      <c r="R964" s="43"/>
      <c r="S964" s="42"/>
      <c r="T964" s="35"/>
      <c r="U964" s="35"/>
      <c r="V964" s="33">
        <v>104.65</v>
      </c>
      <c r="W964" s="41"/>
      <c r="X964" s="43"/>
      <c r="Y964" s="42"/>
      <c r="Z964" s="35"/>
      <c r="AA964" s="34"/>
    </row>
    <row r="965" spans="2:27" x14ac:dyDescent="0.25">
      <c r="B965" s="5">
        <v>332</v>
      </c>
      <c r="C965" s="34">
        <v>45793</v>
      </c>
      <c r="D965" s="5" t="s">
        <v>175</v>
      </c>
      <c r="E965" s="36">
        <v>80</v>
      </c>
      <c r="F965" s="36">
        <f>E965-G965</f>
        <v>0</v>
      </c>
      <c r="G965" s="36">
        <v>80</v>
      </c>
      <c r="H965" s="34">
        <v>45793</v>
      </c>
      <c r="I965" s="34"/>
      <c r="J965" s="34">
        <v>45793</v>
      </c>
      <c r="K965" s="5" t="s">
        <v>545</v>
      </c>
      <c r="L965" s="5" t="s">
        <v>298</v>
      </c>
      <c r="Q965" s="41"/>
      <c r="R965" s="43"/>
      <c r="S965" s="42"/>
      <c r="T965" s="33">
        <v>80</v>
      </c>
      <c r="U965" s="35"/>
      <c r="V965" s="35"/>
      <c r="W965" s="35"/>
      <c r="X965" s="35"/>
      <c r="Y965" s="35"/>
      <c r="Z965" s="35"/>
    </row>
    <row r="966" spans="2:27" x14ac:dyDescent="0.25">
      <c r="B966" s="5">
        <v>311</v>
      </c>
      <c r="C966" s="34">
        <v>45783</v>
      </c>
      <c r="D966" s="5" t="s">
        <v>175</v>
      </c>
      <c r="E966" s="36">
        <v>250</v>
      </c>
      <c r="F966" s="36">
        <f>E966-G966</f>
        <v>0</v>
      </c>
      <c r="G966" s="36">
        <v>250</v>
      </c>
      <c r="H966" s="34">
        <v>45784</v>
      </c>
      <c r="I966" s="34"/>
      <c r="J966" s="34">
        <v>45796</v>
      </c>
      <c r="K966" s="34" t="s">
        <v>583</v>
      </c>
      <c r="L966" s="34" t="s">
        <v>298</v>
      </c>
      <c r="M966" s="34"/>
      <c r="N966" s="39" t="s">
        <v>582</v>
      </c>
      <c r="Q966" s="41"/>
      <c r="R966" s="43"/>
      <c r="S966" s="42"/>
      <c r="T966" s="33">
        <v>250</v>
      </c>
      <c r="U966" s="35"/>
      <c r="V966" s="35"/>
      <c r="W966" s="35"/>
      <c r="X966" s="35"/>
      <c r="Y966" s="35"/>
      <c r="Z966" s="35"/>
    </row>
    <row r="967" spans="2:27" x14ac:dyDescent="0.25">
      <c r="B967" s="5">
        <v>599</v>
      </c>
      <c r="C967" s="34">
        <v>45610</v>
      </c>
      <c r="D967" s="5" t="s">
        <v>404</v>
      </c>
      <c r="E967" s="36">
        <v>2608.98</v>
      </c>
      <c r="F967" s="36">
        <f>E967-G967</f>
        <v>0</v>
      </c>
      <c r="G967" s="36">
        <v>2608.98</v>
      </c>
      <c r="H967" s="34">
        <v>45632</v>
      </c>
      <c r="I967" s="34"/>
      <c r="J967" s="34">
        <v>45800</v>
      </c>
      <c r="K967" s="5" t="s">
        <v>581</v>
      </c>
      <c r="L967" s="5" t="s">
        <v>303</v>
      </c>
      <c r="M967" s="5" t="s">
        <v>308</v>
      </c>
      <c r="Q967" s="41"/>
      <c r="R967" s="43"/>
      <c r="S967" s="44"/>
      <c r="T967" s="49">
        <v>330.42</v>
      </c>
      <c r="U967" s="35"/>
      <c r="V967" s="35"/>
      <c r="W967" s="35"/>
      <c r="X967" s="35"/>
      <c r="Y967" s="35"/>
      <c r="Z967" s="35"/>
    </row>
    <row r="968" spans="2:27" x14ac:dyDescent="0.25">
      <c r="B968" s="5">
        <v>350</v>
      </c>
      <c r="C968" s="34">
        <v>45800</v>
      </c>
      <c r="D968" s="5" t="s">
        <v>580</v>
      </c>
      <c r="E968" s="36">
        <v>580</v>
      </c>
      <c r="F968" s="36">
        <f>E968-G968</f>
        <v>0</v>
      </c>
      <c r="G968" s="36">
        <v>580</v>
      </c>
      <c r="H968" s="34">
        <v>45806</v>
      </c>
      <c r="I968" s="34"/>
      <c r="J968" s="34">
        <v>45804</v>
      </c>
      <c r="K968" s="34" t="s">
        <v>424</v>
      </c>
      <c r="L968" s="5" t="s">
        <v>298</v>
      </c>
      <c r="Q968" s="35"/>
      <c r="R968" s="35"/>
      <c r="S968" s="35"/>
      <c r="T968" s="35"/>
      <c r="U968" s="33">
        <v>580</v>
      </c>
      <c r="V968" s="35"/>
      <c r="W968" s="35"/>
      <c r="X968" s="35"/>
      <c r="Y968" s="35"/>
      <c r="Z968" s="35"/>
    </row>
    <row r="969" spans="2:27" x14ac:dyDescent="0.25">
      <c r="B969" s="5">
        <v>349</v>
      </c>
      <c r="C969" s="34">
        <v>45800</v>
      </c>
      <c r="D969" s="5" t="s">
        <v>307</v>
      </c>
      <c r="E969" s="36">
        <v>8.1199999999999992</v>
      </c>
      <c r="F969" s="36">
        <f>E969-G969</f>
        <v>0</v>
      </c>
      <c r="G969" s="36">
        <v>8.1199999999999992</v>
      </c>
      <c r="H969" s="34">
        <v>45803</v>
      </c>
      <c r="I969" s="34"/>
      <c r="J969" s="34">
        <v>45803</v>
      </c>
      <c r="K969" s="34" t="s">
        <v>424</v>
      </c>
      <c r="L969" s="5" t="s">
        <v>298</v>
      </c>
      <c r="Q969" s="41"/>
      <c r="R969" s="43"/>
      <c r="S969" s="42"/>
      <c r="T969" s="35"/>
      <c r="U969" s="35"/>
      <c r="V969" s="33">
        <v>8.1199999999999992</v>
      </c>
      <c r="W969" s="35"/>
      <c r="X969" s="35"/>
      <c r="Y969" s="35"/>
      <c r="Z969" s="35"/>
    </row>
    <row r="970" spans="2:27" x14ac:dyDescent="0.25">
      <c r="B970" s="5">
        <v>346</v>
      </c>
      <c r="C970" s="34">
        <v>45799</v>
      </c>
      <c r="D970" s="5" t="s">
        <v>307</v>
      </c>
      <c r="E970" s="36">
        <v>33.97</v>
      </c>
      <c r="F970" s="36">
        <f>E970-G970</f>
        <v>0</v>
      </c>
      <c r="G970" s="36">
        <v>33.97</v>
      </c>
      <c r="H970" s="34">
        <v>45803</v>
      </c>
      <c r="I970" s="34"/>
      <c r="J970" s="34">
        <v>45800</v>
      </c>
      <c r="K970" s="34" t="s">
        <v>424</v>
      </c>
      <c r="L970" s="5" t="s">
        <v>298</v>
      </c>
      <c r="Q970" s="41"/>
      <c r="R970" s="43"/>
      <c r="S970" s="42"/>
      <c r="T970" s="35"/>
      <c r="U970" s="35"/>
      <c r="V970" s="33">
        <v>33.97</v>
      </c>
      <c r="W970" s="35"/>
      <c r="X970" s="35"/>
      <c r="Y970" s="35"/>
      <c r="Z970" s="35"/>
    </row>
    <row r="971" spans="2:27" x14ac:dyDescent="0.25">
      <c r="B971" s="5">
        <v>347</v>
      </c>
      <c r="C971" s="34">
        <v>45799</v>
      </c>
      <c r="D971" s="5" t="s">
        <v>307</v>
      </c>
      <c r="E971" s="36">
        <v>40.630000000000003</v>
      </c>
      <c r="F971" s="36">
        <f>E971-G971</f>
        <v>0</v>
      </c>
      <c r="G971" s="36">
        <v>40.630000000000003</v>
      </c>
      <c r="H971" s="34">
        <v>45800</v>
      </c>
      <c r="I971" s="34"/>
      <c r="J971" s="34">
        <v>45800</v>
      </c>
      <c r="K971" s="34" t="s">
        <v>424</v>
      </c>
      <c r="L971" s="5" t="s">
        <v>298</v>
      </c>
      <c r="Q971" s="41"/>
      <c r="R971" s="43"/>
      <c r="S971" s="42"/>
      <c r="T971" s="35"/>
      <c r="U971" s="35"/>
      <c r="V971" s="33">
        <v>40.630000000000003</v>
      </c>
      <c r="W971" s="35"/>
      <c r="X971" s="35"/>
      <c r="Y971" s="35"/>
      <c r="Z971" s="35"/>
    </row>
    <row r="972" spans="2:27" x14ac:dyDescent="0.25">
      <c r="B972" s="5">
        <v>148</v>
      </c>
      <c r="C972" s="34">
        <v>45722</v>
      </c>
      <c r="D972" s="5" t="s">
        <v>375</v>
      </c>
      <c r="E972" s="36">
        <v>1760.9</v>
      </c>
      <c r="F972" s="36">
        <f>E972-G972</f>
        <v>0</v>
      </c>
      <c r="G972" s="36">
        <v>1760.9</v>
      </c>
      <c r="H972" s="34">
        <v>45747</v>
      </c>
      <c r="I972" s="34"/>
      <c r="J972" s="34">
        <v>45803</v>
      </c>
      <c r="K972" s="5" t="s">
        <v>345</v>
      </c>
      <c r="L972" s="5" t="s">
        <v>303</v>
      </c>
      <c r="Q972" s="41"/>
      <c r="R972" s="36">
        <v>1208.9000000000001</v>
      </c>
      <c r="S972" s="49">
        <v>349</v>
      </c>
      <c r="T972" s="40">
        <v>203</v>
      </c>
      <c r="U972" s="35"/>
      <c r="V972" s="35"/>
      <c r="W972" s="35"/>
      <c r="X972" s="35"/>
      <c r="Y972" s="35"/>
      <c r="Z972" s="35"/>
    </row>
    <row r="973" spans="2:27" x14ac:dyDescent="0.25">
      <c r="B973" s="5">
        <v>220</v>
      </c>
      <c r="C973" s="34">
        <v>45744</v>
      </c>
      <c r="D973" s="5" t="s">
        <v>417</v>
      </c>
      <c r="E973" s="36">
        <v>4220</v>
      </c>
      <c r="F973" s="36">
        <f>E973-G973</f>
        <v>0</v>
      </c>
      <c r="G973" s="36">
        <v>4220</v>
      </c>
      <c r="H973" s="34">
        <v>45775</v>
      </c>
      <c r="I973" s="34"/>
      <c r="J973" s="34">
        <v>45800</v>
      </c>
      <c r="K973" s="34" t="s">
        <v>424</v>
      </c>
      <c r="L973" s="34" t="s">
        <v>298</v>
      </c>
      <c r="M973" s="34"/>
      <c r="N973" s="39" t="s">
        <v>579</v>
      </c>
      <c r="Q973" s="41"/>
      <c r="R973" s="43"/>
      <c r="S973" s="42"/>
      <c r="T973" s="75">
        <v>4220</v>
      </c>
      <c r="U973" s="35"/>
      <c r="V973" s="35"/>
      <c r="W973" s="35"/>
      <c r="X973" s="35"/>
      <c r="Y973" s="35"/>
      <c r="Z973" s="35"/>
    </row>
    <row r="974" spans="2:27" x14ac:dyDescent="0.25">
      <c r="B974" s="5">
        <v>344</v>
      </c>
      <c r="C974" s="34">
        <v>45799</v>
      </c>
      <c r="D974" s="5" t="s">
        <v>23</v>
      </c>
      <c r="E974" s="36">
        <v>49.4</v>
      </c>
      <c r="F974" s="36">
        <f>E974-G974</f>
        <v>0</v>
      </c>
      <c r="G974" s="36">
        <v>49.4</v>
      </c>
      <c r="H974" s="34">
        <v>45804</v>
      </c>
      <c r="I974" s="34"/>
      <c r="J974" s="34">
        <v>45804</v>
      </c>
      <c r="K974" s="34" t="s">
        <v>424</v>
      </c>
      <c r="L974" s="34" t="s">
        <v>298</v>
      </c>
      <c r="Q974" s="41"/>
      <c r="R974" s="41"/>
      <c r="S974" s="41"/>
      <c r="T974" s="33">
        <v>49.4</v>
      </c>
      <c r="U974" s="41"/>
      <c r="V974" s="41"/>
      <c r="W974" s="41"/>
      <c r="X974" s="41"/>
      <c r="Y974" s="41"/>
      <c r="Z974" s="41"/>
    </row>
    <row r="975" spans="2:27" x14ac:dyDescent="0.25">
      <c r="B975" s="5">
        <v>286</v>
      </c>
      <c r="C975" s="34">
        <v>45770</v>
      </c>
      <c r="D975" s="5" t="s">
        <v>436</v>
      </c>
      <c r="E975" s="36">
        <v>280</v>
      </c>
      <c r="F975" s="36">
        <f>E975-G975</f>
        <v>0</v>
      </c>
      <c r="G975" s="36">
        <v>280</v>
      </c>
      <c r="H975" s="34">
        <v>45800</v>
      </c>
      <c r="I975" s="34"/>
      <c r="J975" s="34">
        <v>45807</v>
      </c>
      <c r="K975" s="34" t="s">
        <v>424</v>
      </c>
      <c r="L975" s="34" t="s">
        <v>298</v>
      </c>
      <c r="Q975" s="41"/>
      <c r="R975" s="43"/>
      <c r="S975" s="42"/>
      <c r="T975" s="35"/>
      <c r="U975" s="33">
        <v>280</v>
      </c>
      <c r="V975" s="35"/>
      <c r="W975" s="35"/>
      <c r="X975" s="35"/>
      <c r="Y975" s="35"/>
      <c r="Z975" s="35"/>
    </row>
    <row r="976" spans="2:27" x14ac:dyDescent="0.25">
      <c r="B976" s="5">
        <v>297</v>
      </c>
      <c r="C976" s="34">
        <v>45776</v>
      </c>
      <c r="D976" s="5" t="s">
        <v>578</v>
      </c>
      <c r="E976" s="36">
        <v>474.86</v>
      </c>
      <c r="F976" s="36">
        <f>E976-G976</f>
        <v>0</v>
      </c>
      <c r="G976" s="36">
        <v>474.86</v>
      </c>
      <c r="H976" s="34">
        <v>45798</v>
      </c>
      <c r="I976" s="34"/>
      <c r="J976" s="34">
        <v>45807</v>
      </c>
      <c r="K976" s="34" t="s">
        <v>373</v>
      </c>
      <c r="L976" s="34" t="s">
        <v>298</v>
      </c>
      <c r="M976" s="34"/>
      <c r="N976" s="39" t="s">
        <v>355</v>
      </c>
      <c r="Q976" s="41"/>
      <c r="R976" s="43"/>
      <c r="S976" s="54"/>
      <c r="T976" s="35"/>
      <c r="U976" s="35"/>
      <c r="V976" s="35"/>
      <c r="W976" s="35"/>
      <c r="X976" s="35"/>
      <c r="Y976" s="35"/>
      <c r="Z976" s="35"/>
    </row>
    <row r="977" spans="2:27" x14ac:dyDescent="0.25">
      <c r="B977" s="5">
        <v>74</v>
      </c>
      <c r="C977" s="34">
        <v>45691</v>
      </c>
      <c r="D977" s="5" t="s">
        <v>577</v>
      </c>
      <c r="E977" s="36">
        <v>38440</v>
      </c>
      <c r="F977" s="36">
        <f>E977-G977</f>
        <v>0</v>
      </c>
      <c r="G977" s="36">
        <v>38440</v>
      </c>
      <c r="H977" s="34">
        <v>45807</v>
      </c>
      <c r="I977" s="34"/>
      <c r="J977" s="34">
        <v>45807</v>
      </c>
      <c r="K977" s="34" t="s">
        <v>424</v>
      </c>
      <c r="L977" s="5" t="s">
        <v>303</v>
      </c>
      <c r="Q977" s="41"/>
      <c r="R977" s="43"/>
      <c r="S977" s="75">
        <v>11640</v>
      </c>
      <c r="T977" s="40">
        <v>26800</v>
      </c>
      <c r="U977" s="35"/>
      <c r="V977" s="35"/>
      <c r="W977" s="35"/>
      <c r="X977" s="35"/>
      <c r="Y977" s="35"/>
      <c r="Z977" s="35"/>
    </row>
    <row r="978" spans="2:27" x14ac:dyDescent="0.25">
      <c r="B978" s="5">
        <v>322</v>
      </c>
      <c r="C978" s="34">
        <v>45790</v>
      </c>
      <c r="D978" s="5" t="s">
        <v>576</v>
      </c>
      <c r="E978" s="36">
        <v>500</v>
      </c>
      <c r="F978" s="36">
        <f>E978-G978</f>
        <v>0</v>
      </c>
      <c r="G978" s="36">
        <v>500</v>
      </c>
      <c r="H978" s="34">
        <v>45798</v>
      </c>
      <c r="I978" s="34"/>
      <c r="J978" s="34">
        <v>45807</v>
      </c>
      <c r="K978" s="34" t="s">
        <v>575</v>
      </c>
      <c r="L978" s="34" t="s">
        <v>298</v>
      </c>
      <c r="M978" s="34"/>
      <c r="N978" s="39" t="s">
        <v>574</v>
      </c>
      <c r="Q978" s="41"/>
      <c r="R978" s="41"/>
      <c r="S978" s="41"/>
      <c r="T978" s="41"/>
      <c r="U978" s="33">
        <v>500</v>
      </c>
      <c r="V978" s="41"/>
      <c r="W978" s="41"/>
      <c r="X978" s="41"/>
      <c r="Y978" s="41"/>
      <c r="Z978" s="41"/>
    </row>
    <row r="979" spans="2:27" x14ac:dyDescent="0.25">
      <c r="B979" s="5">
        <v>307</v>
      </c>
      <c r="C979" s="34">
        <v>45782</v>
      </c>
      <c r="D979" s="5" t="s">
        <v>470</v>
      </c>
      <c r="E979" s="36">
        <v>2400</v>
      </c>
      <c r="F979" s="36">
        <f>E979-G979</f>
        <v>0</v>
      </c>
      <c r="G979" s="36">
        <v>2400</v>
      </c>
      <c r="H979" s="34">
        <v>45808</v>
      </c>
      <c r="I979" s="34"/>
      <c r="J979" s="34">
        <v>45808</v>
      </c>
      <c r="K979" s="34" t="s">
        <v>313</v>
      </c>
      <c r="L979" s="34" t="s">
        <v>298</v>
      </c>
      <c r="Q979" s="41"/>
      <c r="R979" s="43"/>
      <c r="S979" s="42"/>
      <c r="T979" s="33">
        <v>2400</v>
      </c>
      <c r="U979" s="35"/>
      <c r="V979" s="35"/>
      <c r="W979" s="35"/>
      <c r="X979" s="35"/>
      <c r="Y979" s="35"/>
      <c r="Z979" s="35"/>
    </row>
    <row r="980" spans="2:27" x14ac:dyDescent="0.25">
      <c r="B980" s="5">
        <v>358</v>
      </c>
      <c r="C980" s="34">
        <v>45806</v>
      </c>
      <c r="D980" s="5" t="s">
        <v>573</v>
      </c>
      <c r="E980" s="36">
        <v>520</v>
      </c>
      <c r="F980" s="36">
        <f>E980-G980</f>
        <v>0</v>
      </c>
      <c r="G980" s="36">
        <v>520</v>
      </c>
      <c r="H980" s="34">
        <v>45807</v>
      </c>
      <c r="I980" s="34"/>
      <c r="J980" s="34">
        <v>45806</v>
      </c>
      <c r="K980" s="34" t="s">
        <v>348</v>
      </c>
      <c r="L980" s="34" t="s">
        <v>298</v>
      </c>
      <c r="M980" s="34"/>
      <c r="Q980" s="41"/>
      <c r="R980" s="43"/>
      <c r="S980" s="42"/>
      <c r="T980" s="35"/>
      <c r="U980" s="33">
        <v>520</v>
      </c>
      <c r="V980" s="35"/>
      <c r="W980" s="35"/>
      <c r="X980" s="35"/>
      <c r="Y980" s="35"/>
      <c r="Z980" s="35"/>
    </row>
    <row r="981" spans="2:27" x14ac:dyDescent="0.25">
      <c r="B981" s="5">
        <v>480</v>
      </c>
      <c r="C981" s="34">
        <v>45552</v>
      </c>
      <c r="D981" s="5" t="s">
        <v>572</v>
      </c>
      <c r="E981" s="36">
        <v>295000</v>
      </c>
      <c r="F981" s="36">
        <f>E981-G981</f>
        <v>0</v>
      </c>
      <c r="G981" s="36">
        <v>295000</v>
      </c>
      <c r="H981" s="34">
        <v>45646</v>
      </c>
      <c r="I981" s="34"/>
      <c r="J981" s="34">
        <v>45811</v>
      </c>
      <c r="K981" s="5" t="s">
        <v>571</v>
      </c>
      <c r="L981" s="5" t="s">
        <v>298</v>
      </c>
      <c r="N981" s="45" t="s">
        <v>570</v>
      </c>
      <c r="Q981" s="41"/>
      <c r="R981" s="43"/>
      <c r="S981" s="42"/>
      <c r="T981" s="40">
        <v>177000</v>
      </c>
      <c r="U981" s="35"/>
      <c r="V981" s="35"/>
      <c r="W981" s="35"/>
      <c r="X981" s="35"/>
      <c r="Y981" s="35"/>
      <c r="Z981" s="35"/>
    </row>
    <row r="982" spans="2:27" x14ac:dyDescent="0.25">
      <c r="B982" s="5">
        <v>359</v>
      </c>
      <c r="C982" s="34">
        <v>45806</v>
      </c>
      <c r="D982" s="5" t="s">
        <v>328</v>
      </c>
      <c r="E982" s="36">
        <v>66.900000000000006</v>
      </c>
      <c r="F982" s="36">
        <f>E982-G982</f>
        <v>0</v>
      </c>
      <c r="G982" s="36">
        <v>66.900000000000006</v>
      </c>
      <c r="H982" s="34">
        <v>45812</v>
      </c>
      <c r="I982" s="34"/>
      <c r="J982" s="34">
        <v>45812</v>
      </c>
      <c r="K982" s="5" t="s">
        <v>367</v>
      </c>
      <c r="L982" s="5" t="s">
        <v>298</v>
      </c>
      <c r="Q982" s="35"/>
      <c r="R982" s="35"/>
      <c r="S982" s="35"/>
      <c r="T982" s="35"/>
      <c r="U982" s="33">
        <v>66.900000000000006</v>
      </c>
      <c r="V982" s="35"/>
      <c r="W982" s="35"/>
      <c r="X982" s="35"/>
      <c r="Y982" s="35"/>
      <c r="Z982" s="35"/>
    </row>
    <row r="983" spans="2:27" x14ac:dyDescent="0.25">
      <c r="B983" s="5">
        <v>355</v>
      </c>
      <c r="C983" s="34">
        <v>45806</v>
      </c>
      <c r="D983" s="5" t="s">
        <v>184</v>
      </c>
      <c r="E983" s="36">
        <v>40</v>
      </c>
      <c r="F983" s="36">
        <f>E983-G983</f>
        <v>0</v>
      </c>
      <c r="G983" s="36">
        <v>40</v>
      </c>
      <c r="H983" s="34">
        <v>45812</v>
      </c>
      <c r="I983" s="34"/>
      <c r="J983" s="34">
        <v>45811</v>
      </c>
      <c r="K983" s="34" t="s">
        <v>569</v>
      </c>
      <c r="L983" s="34" t="s">
        <v>298</v>
      </c>
      <c r="N983" s="45" t="s">
        <v>355</v>
      </c>
      <c r="Q983" s="41"/>
      <c r="R983" s="43"/>
      <c r="S983" s="42"/>
      <c r="T983" s="33">
        <v>40</v>
      </c>
      <c r="U983" s="35"/>
      <c r="V983" s="35"/>
      <c r="W983" s="35"/>
      <c r="X983" s="35"/>
      <c r="Y983" s="35"/>
      <c r="Z983" s="35"/>
    </row>
    <row r="984" spans="2:27" x14ac:dyDescent="0.25">
      <c r="B984" s="5">
        <v>343</v>
      </c>
      <c r="C984" s="34">
        <v>45798</v>
      </c>
      <c r="D984" s="5" t="s">
        <v>403</v>
      </c>
      <c r="E984" s="36">
        <v>33.93</v>
      </c>
      <c r="F984" s="36">
        <f>E984-G984</f>
        <v>0</v>
      </c>
      <c r="G984" s="36">
        <v>33.93</v>
      </c>
      <c r="H984" s="34">
        <v>45807</v>
      </c>
      <c r="I984" s="34"/>
      <c r="J984" s="34">
        <v>45811</v>
      </c>
      <c r="K984" s="34" t="s">
        <v>424</v>
      </c>
      <c r="L984" s="5" t="s">
        <v>298</v>
      </c>
      <c r="Q984" s="44"/>
      <c r="R984" s="44"/>
      <c r="S984" s="44"/>
      <c r="T984" s="33">
        <v>33.93</v>
      </c>
      <c r="U984" s="44"/>
      <c r="V984" s="44"/>
      <c r="W984" s="44"/>
      <c r="X984" s="44"/>
      <c r="Y984" s="44"/>
      <c r="Z984" s="44"/>
    </row>
    <row r="985" spans="2:27" x14ac:dyDescent="0.25">
      <c r="B985" s="5">
        <v>352</v>
      </c>
      <c r="C985" s="34">
        <v>45803</v>
      </c>
      <c r="D985" s="5" t="s">
        <v>470</v>
      </c>
      <c r="E985" s="36">
        <v>1690</v>
      </c>
      <c r="F985" s="36">
        <f>E985-G985</f>
        <v>0</v>
      </c>
      <c r="G985" s="36">
        <v>1690</v>
      </c>
      <c r="H985" s="34">
        <v>45811</v>
      </c>
      <c r="I985" s="34"/>
      <c r="J985" s="34">
        <v>45811</v>
      </c>
      <c r="K985" s="34" t="s">
        <v>568</v>
      </c>
      <c r="L985" s="34" t="s">
        <v>298</v>
      </c>
      <c r="Q985" s="44"/>
      <c r="R985" s="44"/>
      <c r="S985" s="44"/>
      <c r="T985" s="33">
        <v>1690</v>
      </c>
      <c r="U985" s="44"/>
      <c r="V985" s="44"/>
      <c r="W985" s="44"/>
      <c r="X985" s="44"/>
      <c r="Y985" s="44"/>
      <c r="Z985" s="44"/>
    </row>
    <row r="986" spans="2:27" x14ac:dyDescent="0.25">
      <c r="B986" s="5">
        <v>345</v>
      </c>
      <c r="C986" s="34">
        <v>45799</v>
      </c>
      <c r="D986" s="5" t="s">
        <v>412</v>
      </c>
      <c r="E986" s="36">
        <v>237.32</v>
      </c>
      <c r="F986" s="36">
        <f>E986-G986</f>
        <v>0</v>
      </c>
      <c r="G986" s="36">
        <v>237.32</v>
      </c>
      <c r="H986" s="34">
        <v>45818</v>
      </c>
      <c r="I986" s="34"/>
      <c r="J986" s="34">
        <v>45812</v>
      </c>
      <c r="K986" s="34" t="s">
        <v>424</v>
      </c>
      <c r="L986" s="34" t="s">
        <v>298</v>
      </c>
      <c r="Q986" s="41"/>
      <c r="R986" s="41"/>
      <c r="S986" s="41"/>
      <c r="T986" s="41"/>
      <c r="U986" s="33">
        <v>237.32</v>
      </c>
      <c r="V986" s="41"/>
      <c r="W986" s="41"/>
      <c r="X986" s="41"/>
      <c r="Y986" s="41"/>
      <c r="Z986" s="41"/>
    </row>
    <row r="987" spans="2:27" x14ac:dyDescent="0.25">
      <c r="B987" s="5">
        <v>357</v>
      </c>
      <c r="C987" s="34">
        <v>45806</v>
      </c>
      <c r="D987" s="5" t="s">
        <v>23</v>
      </c>
      <c r="E987" s="36">
        <v>401.25</v>
      </c>
      <c r="F987" s="36">
        <f>E987-G987</f>
        <v>0</v>
      </c>
      <c r="G987" s="36">
        <v>401.25</v>
      </c>
      <c r="H987" s="34">
        <v>45812</v>
      </c>
      <c r="I987" s="34"/>
      <c r="J987" s="34">
        <v>45812</v>
      </c>
      <c r="K987" s="34" t="s">
        <v>313</v>
      </c>
      <c r="L987" s="34" t="s">
        <v>309</v>
      </c>
      <c r="M987" s="34" t="s">
        <v>308</v>
      </c>
      <c r="Q987" s="41"/>
      <c r="R987" s="43"/>
      <c r="S987" s="42"/>
      <c r="T987" s="35"/>
      <c r="U987" s="33">
        <v>401.25</v>
      </c>
      <c r="V987" s="35"/>
      <c r="W987" s="35"/>
      <c r="X987" s="35"/>
      <c r="Y987" s="35"/>
      <c r="Z987" s="35"/>
    </row>
    <row r="988" spans="2:27" x14ac:dyDescent="0.25">
      <c r="B988" s="5">
        <v>4</v>
      </c>
      <c r="C988" s="34">
        <v>45664</v>
      </c>
      <c r="D988" s="5" t="s">
        <v>466</v>
      </c>
      <c r="E988" s="36">
        <v>82994</v>
      </c>
      <c r="F988" s="36">
        <f>E988-G988</f>
        <v>0</v>
      </c>
      <c r="G988" s="36">
        <v>82994</v>
      </c>
      <c r="H988" s="34">
        <v>45814</v>
      </c>
      <c r="I988" s="34"/>
      <c r="J988" s="34">
        <v>45813</v>
      </c>
      <c r="K988" s="5" t="s">
        <v>313</v>
      </c>
      <c r="L988" s="5" t="s">
        <v>309</v>
      </c>
      <c r="M988" s="5" t="s">
        <v>308</v>
      </c>
      <c r="Q988" s="41"/>
      <c r="R988" s="41"/>
      <c r="S988" s="43"/>
      <c r="T988" s="35"/>
      <c r="U988" s="35"/>
      <c r="V988" s="36">
        <v>82994</v>
      </c>
      <c r="W988" s="35"/>
      <c r="X988" s="35"/>
      <c r="Y988" s="35"/>
      <c r="Z988" s="35"/>
      <c r="AA988" s="5"/>
    </row>
    <row r="989" spans="2:27" x14ac:dyDescent="0.25">
      <c r="B989" s="5">
        <v>340</v>
      </c>
      <c r="C989" s="34">
        <v>45797</v>
      </c>
      <c r="D989" s="5" t="s">
        <v>300</v>
      </c>
      <c r="E989" s="36">
        <v>82</v>
      </c>
      <c r="F989" s="36">
        <f>E989-G989</f>
        <v>0</v>
      </c>
      <c r="G989" s="36">
        <v>82</v>
      </c>
      <c r="H989" s="34">
        <v>45807</v>
      </c>
      <c r="I989" s="34"/>
      <c r="J989" s="34">
        <v>45813</v>
      </c>
      <c r="K989" s="34" t="s">
        <v>424</v>
      </c>
      <c r="L989" s="34" t="s">
        <v>298</v>
      </c>
      <c r="Q989" s="41"/>
      <c r="R989" s="43"/>
      <c r="S989" s="42"/>
      <c r="T989" s="35"/>
      <c r="U989" s="33">
        <v>82</v>
      </c>
      <c r="V989" s="35"/>
      <c r="W989" s="35"/>
      <c r="X989" s="35"/>
      <c r="Y989" s="35"/>
      <c r="Z989" s="35"/>
    </row>
    <row r="990" spans="2:27" x14ac:dyDescent="0.25">
      <c r="B990" s="5">
        <v>368</v>
      </c>
      <c r="C990" s="34">
        <v>45812</v>
      </c>
      <c r="D990" s="5" t="s">
        <v>375</v>
      </c>
      <c r="E990" s="36">
        <v>150.63999999999999</v>
      </c>
      <c r="F990" s="36">
        <f>E990-G990</f>
        <v>0</v>
      </c>
      <c r="G990" s="36">
        <v>150.63999999999999</v>
      </c>
      <c r="H990" s="34">
        <v>45814</v>
      </c>
      <c r="I990" s="34"/>
      <c r="J990" s="34">
        <v>45814</v>
      </c>
      <c r="K990" s="34" t="s">
        <v>536</v>
      </c>
      <c r="L990" s="34" t="s">
        <v>298</v>
      </c>
      <c r="Q990" s="42"/>
      <c r="R990" s="42"/>
      <c r="S990" s="42"/>
      <c r="T990" s="35"/>
      <c r="U990" s="33">
        <v>150.63999999999999</v>
      </c>
      <c r="V990" s="42"/>
      <c r="W990" s="42"/>
      <c r="X990" s="42"/>
      <c r="Y990" s="42"/>
      <c r="Z990" s="42"/>
    </row>
    <row r="991" spans="2:27" x14ac:dyDescent="0.25">
      <c r="B991" s="5">
        <v>353</v>
      </c>
      <c r="C991" s="34">
        <v>45804</v>
      </c>
      <c r="D991" s="5" t="s">
        <v>23</v>
      </c>
      <c r="E991" s="36">
        <v>53.17</v>
      </c>
      <c r="F991" s="36">
        <f>E991-G991</f>
        <v>0</v>
      </c>
      <c r="G991" s="36">
        <v>53.17</v>
      </c>
      <c r="H991" s="34">
        <v>45811</v>
      </c>
      <c r="I991" s="34"/>
      <c r="J991" s="34">
        <v>45814</v>
      </c>
      <c r="K991" s="34" t="s">
        <v>424</v>
      </c>
      <c r="L991" s="34" t="s">
        <v>309</v>
      </c>
      <c r="M991" s="34" t="s">
        <v>308</v>
      </c>
      <c r="Q991" s="42"/>
      <c r="R991" s="42"/>
      <c r="S991" s="42"/>
      <c r="T991" s="42"/>
      <c r="U991" s="33">
        <v>53.17</v>
      </c>
      <c r="V991" s="42"/>
      <c r="W991" s="42"/>
      <c r="X991" s="42"/>
      <c r="Y991" s="42"/>
      <c r="Z991" s="42"/>
    </row>
    <row r="992" spans="2:27" x14ac:dyDescent="0.25">
      <c r="B992" s="5">
        <v>370</v>
      </c>
      <c r="C992" s="34">
        <v>45813</v>
      </c>
      <c r="D992" s="5" t="s">
        <v>316</v>
      </c>
      <c r="E992" s="36">
        <v>90.86</v>
      </c>
      <c r="F992" s="36">
        <f>E992-G992</f>
        <v>0</v>
      </c>
      <c r="G992" s="36">
        <v>90.86</v>
      </c>
      <c r="H992" s="34">
        <v>45818</v>
      </c>
      <c r="I992" s="34"/>
      <c r="J992" s="34">
        <v>45817</v>
      </c>
      <c r="K992" s="34" t="s">
        <v>544</v>
      </c>
      <c r="L992" s="34" t="s">
        <v>309</v>
      </c>
      <c r="M992" s="34" t="s">
        <v>308</v>
      </c>
      <c r="Q992" s="35"/>
      <c r="R992" s="35"/>
      <c r="S992" s="35"/>
      <c r="T992" s="35"/>
      <c r="U992" s="36">
        <v>90.86</v>
      </c>
      <c r="V992" s="35"/>
      <c r="W992" s="35"/>
      <c r="X992" s="35"/>
      <c r="Y992" s="35"/>
      <c r="Z992" s="35"/>
    </row>
    <row r="993" spans="2:27" x14ac:dyDescent="0.25">
      <c r="B993" s="5">
        <v>155</v>
      </c>
      <c r="C993" s="34">
        <v>45726</v>
      </c>
      <c r="D993" s="5" t="s">
        <v>567</v>
      </c>
      <c r="E993" s="36">
        <v>603</v>
      </c>
      <c r="F993" s="36">
        <f>E993-G993</f>
        <v>0</v>
      </c>
      <c r="G993" s="36">
        <v>603</v>
      </c>
      <c r="H993" s="34">
        <v>45777</v>
      </c>
      <c r="I993" s="34"/>
      <c r="J993" s="34">
        <v>45817</v>
      </c>
      <c r="K993" s="5" t="s">
        <v>367</v>
      </c>
      <c r="L993" s="5" t="s">
        <v>298</v>
      </c>
      <c r="N993" s="45" t="s">
        <v>566</v>
      </c>
      <c r="Q993" s="41"/>
      <c r="R993" s="43"/>
      <c r="S993" s="42"/>
      <c r="T993" s="33">
        <v>603</v>
      </c>
      <c r="U993" s="35"/>
      <c r="V993" s="35"/>
      <c r="W993" s="35"/>
      <c r="X993" s="35"/>
      <c r="Y993" s="35"/>
      <c r="Z993" s="35"/>
    </row>
    <row r="994" spans="2:27" x14ac:dyDescent="0.25">
      <c r="B994" s="5">
        <v>373</v>
      </c>
      <c r="C994" s="34">
        <v>45813</v>
      </c>
      <c r="D994" s="5" t="s">
        <v>307</v>
      </c>
      <c r="E994" s="36">
        <v>42.86</v>
      </c>
      <c r="F994" s="36">
        <f>E994-G994</f>
        <v>0</v>
      </c>
      <c r="G994" s="36">
        <v>42.86</v>
      </c>
      <c r="H994" s="34">
        <v>45817</v>
      </c>
      <c r="I994" s="34"/>
      <c r="J994" s="34">
        <v>45819</v>
      </c>
      <c r="K994" s="34" t="s">
        <v>543</v>
      </c>
      <c r="L994" s="5" t="s">
        <v>298</v>
      </c>
      <c r="Q994" s="44"/>
      <c r="R994" s="44"/>
      <c r="S994" s="44"/>
      <c r="T994" s="44"/>
      <c r="U994" s="44"/>
      <c r="V994" s="44"/>
      <c r="W994" s="36">
        <v>42.86</v>
      </c>
      <c r="X994" s="44"/>
      <c r="Y994" s="44"/>
      <c r="Z994" s="44"/>
    </row>
    <row r="995" spans="2:27" x14ac:dyDescent="0.25">
      <c r="B995" s="5">
        <v>377</v>
      </c>
      <c r="C995" s="34">
        <v>45814</v>
      </c>
      <c r="D995" s="5" t="s">
        <v>565</v>
      </c>
      <c r="E995" s="33">
        <v>98.02</v>
      </c>
      <c r="F995" s="33">
        <f>E995-G995</f>
        <v>0</v>
      </c>
      <c r="G995" s="33">
        <v>98.02</v>
      </c>
      <c r="H995" s="34">
        <v>45824</v>
      </c>
      <c r="I995" s="34"/>
      <c r="J995" s="34">
        <v>45819</v>
      </c>
      <c r="K995" s="5" t="s">
        <v>313</v>
      </c>
      <c r="L995" s="5" t="s">
        <v>298</v>
      </c>
      <c r="N995" s="45" t="s">
        <v>355</v>
      </c>
      <c r="Q995" s="41"/>
      <c r="R995" s="43"/>
      <c r="S995" s="42"/>
      <c r="T995" s="33">
        <v>98.02</v>
      </c>
      <c r="U995" s="41"/>
      <c r="V995" s="43"/>
      <c r="W995" s="42"/>
      <c r="X995" s="41"/>
      <c r="Y995" s="43"/>
      <c r="Z995" s="42"/>
    </row>
    <row r="996" spans="2:27" x14ac:dyDescent="0.25">
      <c r="B996" s="5">
        <v>351</v>
      </c>
      <c r="C996" s="34">
        <v>45803</v>
      </c>
      <c r="D996" s="5" t="s">
        <v>420</v>
      </c>
      <c r="E996" s="36">
        <v>232</v>
      </c>
      <c r="F996" s="36">
        <f>E996-G996</f>
        <v>0</v>
      </c>
      <c r="G996" s="36">
        <v>232</v>
      </c>
      <c r="H996" s="34">
        <v>45818</v>
      </c>
      <c r="I996" s="34"/>
      <c r="J996" s="34">
        <v>45814</v>
      </c>
      <c r="K996" s="34" t="s">
        <v>534</v>
      </c>
      <c r="L996" s="34" t="s">
        <v>298</v>
      </c>
      <c r="Q996" s="41"/>
      <c r="R996" s="43"/>
      <c r="S996" s="42"/>
      <c r="T996" s="35"/>
      <c r="U996" s="33">
        <v>232</v>
      </c>
      <c r="V996" s="35"/>
      <c r="W996" s="35"/>
      <c r="X996" s="35"/>
      <c r="Y996" s="35"/>
      <c r="Z996" s="35"/>
    </row>
    <row r="997" spans="2:27" x14ac:dyDescent="0.25">
      <c r="B997" s="5">
        <v>50</v>
      </c>
      <c r="C997" s="34">
        <v>45680</v>
      </c>
      <c r="D997" s="5" t="s">
        <v>181</v>
      </c>
      <c r="E997" s="36">
        <v>3050</v>
      </c>
      <c r="F997" s="36">
        <f>E997-G997</f>
        <v>0</v>
      </c>
      <c r="G997" s="36">
        <v>3050</v>
      </c>
      <c r="H997" s="34">
        <v>45729</v>
      </c>
      <c r="I997" s="34"/>
      <c r="J997" s="34">
        <v>45805</v>
      </c>
      <c r="K997" s="34" t="s">
        <v>348</v>
      </c>
      <c r="L997" s="5" t="s">
        <v>309</v>
      </c>
      <c r="M997" s="5" t="s">
        <v>308</v>
      </c>
      <c r="N997" s="45" t="s">
        <v>372</v>
      </c>
      <c r="Q997" s="41"/>
      <c r="R997" s="43"/>
      <c r="S997" s="49">
        <v>1850</v>
      </c>
      <c r="T997" s="41"/>
      <c r="U997" s="40">
        <v>1200</v>
      </c>
      <c r="V997" s="35"/>
      <c r="W997" s="35"/>
      <c r="X997" s="35"/>
      <c r="Y997" s="35"/>
      <c r="Z997" s="35"/>
    </row>
    <row r="998" spans="2:27" x14ac:dyDescent="0.25">
      <c r="B998" s="5">
        <v>356</v>
      </c>
      <c r="C998" s="34">
        <v>45806</v>
      </c>
      <c r="D998" s="5" t="s">
        <v>564</v>
      </c>
      <c r="E998" s="36">
        <v>780</v>
      </c>
      <c r="F998" s="36">
        <f>E998-G998</f>
        <v>0</v>
      </c>
      <c r="G998" s="36">
        <v>780</v>
      </c>
      <c r="H998" s="34">
        <v>45824</v>
      </c>
      <c r="I998" s="34"/>
      <c r="J998" s="34">
        <v>45821</v>
      </c>
      <c r="K998" s="34" t="s">
        <v>373</v>
      </c>
      <c r="L998" s="34" t="s">
        <v>298</v>
      </c>
      <c r="Q998" s="41"/>
      <c r="R998" s="43"/>
      <c r="S998" s="33">
        <v>780</v>
      </c>
      <c r="T998" s="35"/>
      <c r="U998" s="35"/>
      <c r="V998" s="35"/>
      <c r="W998" s="35"/>
      <c r="X998" s="35"/>
      <c r="Y998" s="35"/>
      <c r="Z998" s="35"/>
    </row>
    <row r="999" spans="2:27" x14ac:dyDescent="0.25">
      <c r="B999" s="5">
        <v>378</v>
      </c>
      <c r="C999" s="34">
        <v>45817</v>
      </c>
      <c r="D999" s="5" t="s">
        <v>563</v>
      </c>
      <c r="E999" s="36">
        <v>127</v>
      </c>
      <c r="F999" s="36">
        <f>E999-G999</f>
        <v>0</v>
      </c>
      <c r="G999" s="36">
        <v>127</v>
      </c>
      <c r="H999" s="34">
        <v>45828</v>
      </c>
      <c r="I999" s="34"/>
      <c r="J999" s="34">
        <v>45824</v>
      </c>
      <c r="K999" s="34" t="s">
        <v>543</v>
      </c>
      <c r="L999" s="34" t="s">
        <v>309</v>
      </c>
      <c r="M999" s="34" t="s">
        <v>308</v>
      </c>
      <c r="Q999" s="41"/>
      <c r="R999" s="43"/>
      <c r="S999" s="42"/>
      <c r="T999" s="33">
        <v>127</v>
      </c>
      <c r="U999" s="41"/>
      <c r="V999" s="43"/>
      <c r="W999" s="42"/>
      <c r="X999" s="41"/>
      <c r="Y999" s="43"/>
      <c r="Z999" s="42"/>
    </row>
    <row r="1000" spans="2:27" x14ac:dyDescent="0.25">
      <c r="B1000" s="5">
        <v>365</v>
      </c>
      <c r="C1000" s="34">
        <v>45812</v>
      </c>
      <c r="D1000" s="5" t="s">
        <v>371</v>
      </c>
      <c r="E1000" s="36">
        <v>1200</v>
      </c>
      <c r="F1000" s="36">
        <f>E1000-G1000</f>
        <v>0</v>
      </c>
      <c r="G1000" s="36">
        <v>1200</v>
      </c>
      <c r="H1000" s="34">
        <v>45821</v>
      </c>
      <c r="I1000" s="34"/>
      <c r="J1000" s="34">
        <v>45821</v>
      </c>
      <c r="K1000" s="34" t="s">
        <v>348</v>
      </c>
      <c r="L1000" s="5" t="s">
        <v>298</v>
      </c>
      <c r="Q1000" s="41"/>
      <c r="R1000" s="43"/>
      <c r="S1000" s="42"/>
      <c r="T1000" s="35"/>
      <c r="U1000" s="35"/>
      <c r="V1000" s="33">
        <v>1200</v>
      </c>
      <c r="W1000" s="35"/>
      <c r="X1000" s="35"/>
      <c r="Y1000" s="35"/>
      <c r="Z1000" s="35"/>
    </row>
    <row r="1001" spans="2:27" x14ac:dyDescent="0.25">
      <c r="B1001" s="5">
        <v>384</v>
      </c>
      <c r="C1001" s="34">
        <v>45819</v>
      </c>
      <c r="D1001" s="5" t="s">
        <v>307</v>
      </c>
      <c r="E1001" s="36">
        <v>253.64</v>
      </c>
      <c r="F1001" s="36">
        <f>E1001-G1001</f>
        <v>0</v>
      </c>
      <c r="G1001" s="36">
        <v>253.64</v>
      </c>
      <c r="H1001" s="34">
        <v>45826</v>
      </c>
      <c r="I1001" s="34"/>
      <c r="J1001" s="34">
        <v>45821</v>
      </c>
      <c r="K1001" s="34" t="s">
        <v>424</v>
      </c>
      <c r="L1001" s="5" t="s">
        <v>298</v>
      </c>
      <c r="Q1001" s="41"/>
      <c r="R1001" s="43"/>
      <c r="S1001" s="42"/>
      <c r="T1001" s="35"/>
      <c r="U1001" s="35"/>
      <c r="V1001" s="35"/>
      <c r="W1001" s="33">
        <v>253.64</v>
      </c>
      <c r="X1001" s="35"/>
      <c r="Y1001" s="35"/>
      <c r="Z1001" s="35"/>
    </row>
    <row r="1002" spans="2:27" x14ac:dyDescent="0.25">
      <c r="B1002" s="5">
        <v>348</v>
      </c>
      <c r="C1002" s="34">
        <v>45799</v>
      </c>
      <c r="D1002" s="5" t="s">
        <v>356</v>
      </c>
      <c r="E1002" s="36">
        <v>1387.82</v>
      </c>
      <c r="F1002" s="36">
        <f>E1002-G1002</f>
        <v>0</v>
      </c>
      <c r="G1002" s="36">
        <v>1387.82</v>
      </c>
      <c r="H1002" s="34">
        <v>45814</v>
      </c>
      <c r="I1002" s="34"/>
      <c r="J1002" s="34">
        <v>45821</v>
      </c>
      <c r="K1002" s="34" t="s">
        <v>313</v>
      </c>
      <c r="L1002" s="34" t="s">
        <v>298</v>
      </c>
      <c r="M1002" s="34"/>
      <c r="N1002" s="39" t="s">
        <v>562</v>
      </c>
      <c r="Q1002" s="41"/>
      <c r="R1002" s="43"/>
      <c r="S1002" s="42"/>
      <c r="T1002" s="35"/>
      <c r="U1002" s="35"/>
      <c r="V1002" s="35"/>
      <c r="W1002" s="35"/>
      <c r="X1002" s="35"/>
      <c r="Y1002" s="35"/>
      <c r="Z1002" s="35"/>
    </row>
    <row r="1003" spans="2:27" x14ac:dyDescent="0.25">
      <c r="B1003" s="5">
        <v>337</v>
      </c>
      <c r="C1003" s="34">
        <v>45797</v>
      </c>
      <c r="D1003" s="5" t="s">
        <v>307</v>
      </c>
      <c r="E1003" s="36">
        <v>670</v>
      </c>
      <c r="F1003" s="36">
        <f>E1003-G1003</f>
        <v>0</v>
      </c>
      <c r="G1003" s="36">
        <v>670</v>
      </c>
      <c r="H1003" s="34">
        <v>45808</v>
      </c>
      <c r="I1003" s="34"/>
      <c r="J1003" s="34">
        <v>45821</v>
      </c>
      <c r="K1003" s="34" t="s">
        <v>543</v>
      </c>
      <c r="L1003" s="34" t="s">
        <v>298</v>
      </c>
      <c r="M1003" s="34"/>
      <c r="N1003" s="39" t="s">
        <v>561</v>
      </c>
      <c r="Q1003" s="41"/>
      <c r="R1003" s="43"/>
      <c r="S1003" s="42"/>
      <c r="T1003" s="35"/>
      <c r="U1003" s="35"/>
      <c r="V1003" s="33">
        <v>670</v>
      </c>
      <c r="W1003" s="35"/>
      <c r="X1003" s="35"/>
      <c r="Y1003" s="35"/>
      <c r="Z1003" s="35"/>
    </row>
    <row r="1004" spans="2:27" x14ac:dyDescent="0.25">
      <c r="B1004" s="5">
        <v>189</v>
      </c>
      <c r="C1004" s="34">
        <v>45736</v>
      </c>
      <c r="D1004" s="5" t="s">
        <v>560</v>
      </c>
      <c r="E1004" s="36">
        <v>1764</v>
      </c>
      <c r="F1004" s="36">
        <f>E1004-G1004</f>
        <v>0</v>
      </c>
      <c r="G1004" s="36">
        <v>1764</v>
      </c>
      <c r="H1004" s="34">
        <v>45777</v>
      </c>
      <c r="I1004" s="34"/>
      <c r="J1004" s="34">
        <v>45821</v>
      </c>
      <c r="K1004" s="34" t="s">
        <v>367</v>
      </c>
      <c r="L1004" s="5" t="s">
        <v>309</v>
      </c>
      <c r="M1004" s="5" t="s">
        <v>350</v>
      </c>
      <c r="N1004" s="39" t="s">
        <v>559</v>
      </c>
      <c r="Q1004" s="41"/>
      <c r="R1004" s="43"/>
      <c r="S1004" s="74">
        <v>1764</v>
      </c>
      <c r="T1004" s="35"/>
      <c r="U1004" s="35"/>
      <c r="V1004" s="35"/>
      <c r="W1004" s="35"/>
      <c r="X1004" s="35"/>
      <c r="Y1004" s="35"/>
      <c r="Z1004" s="35"/>
    </row>
    <row r="1005" spans="2:27" x14ac:dyDescent="0.25">
      <c r="B1005" s="5">
        <v>329</v>
      </c>
      <c r="C1005" s="34">
        <v>45792</v>
      </c>
      <c r="D1005" s="5" t="s">
        <v>558</v>
      </c>
      <c r="E1005" s="36">
        <v>3640</v>
      </c>
      <c r="F1005" s="36">
        <f>E1005-G1005</f>
        <v>0</v>
      </c>
      <c r="G1005" s="36">
        <v>3640</v>
      </c>
      <c r="H1005" s="34">
        <v>45838</v>
      </c>
      <c r="I1005" s="34"/>
      <c r="J1005" s="34">
        <v>45824</v>
      </c>
      <c r="K1005" s="34" t="s">
        <v>557</v>
      </c>
      <c r="L1005" s="34" t="s">
        <v>298</v>
      </c>
      <c r="Q1005" s="44"/>
      <c r="R1005" s="44"/>
      <c r="S1005" s="44"/>
      <c r="T1005" s="33">
        <v>3640</v>
      </c>
      <c r="U1005" s="44"/>
      <c r="V1005" s="44"/>
      <c r="W1005" s="44"/>
      <c r="X1005" s="44"/>
      <c r="Y1005" s="44"/>
      <c r="Z1005" s="44"/>
    </row>
    <row r="1006" spans="2:27" x14ac:dyDescent="0.25">
      <c r="B1006" s="5">
        <v>396</v>
      </c>
      <c r="C1006" s="34">
        <v>45821</v>
      </c>
      <c r="D1006" s="5" t="s">
        <v>307</v>
      </c>
      <c r="E1006" s="36">
        <v>56.27</v>
      </c>
      <c r="F1006" s="36">
        <f>E1006-G1006</f>
        <v>0</v>
      </c>
      <c r="G1006" s="36">
        <v>56.27</v>
      </c>
      <c r="H1006" s="34">
        <v>45826</v>
      </c>
      <c r="I1006" s="34"/>
      <c r="J1006" s="34">
        <v>45824</v>
      </c>
      <c r="K1006" s="34" t="s">
        <v>509</v>
      </c>
      <c r="L1006" s="34" t="s">
        <v>298</v>
      </c>
      <c r="Q1006" s="41"/>
      <c r="R1006" s="43"/>
      <c r="S1006" s="42"/>
      <c r="T1006" s="35"/>
      <c r="U1006" s="35"/>
      <c r="V1006" s="35"/>
      <c r="W1006" s="33">
        <v>56.27</v>
      </c>
      <c r="X1006" s="35"/>
      <c r="Y1006" s="35"/>
      <c r="Z1006" s="35"/>
    </row>
    <row r="1007" spans="2:27" x14ac:dyDescent="0.25">
      <c r="B1007" s="5">
        <v>327</v>
      </c>
      <c r="C1007" s="34">
        <v>45790</v>
      </c>
      <c r="D1007" s="5" t="s">
        <v>463</v>
      </c>
      <c r="E1007" s="36">
        <v>6000</v>
      </c>
      <c r="F1007" s="36">
        <f>E1007-G1007</f>
        <v>0</v>
      </c>
      <c r="G1007" s="36">
        <v>6000</v>
      </c>
      <c r="H1007" s="34">
        <v>45808</v>
      </c>
      <c r="I1007" s="34"/>
      <c r="J1007" s="34">
        <v>45800</v>
      </c>
      <c r="K1007" s="34" t="s">
        <v>348</v>
      </c>
      <c r="L1007" s="34" t="s">
        <v>298</v>
      </c>
      <c r="M1007" s="34"/>
      <c r="N1007" s="39" t="s">
        <v>556</v>
      </c>
      <c r="Q1007" s="41"/>
      <c r="R1007" s="41"/>
      <c r="S1007" s="49">
        <v>3000</v>
      </c>
      <c r="T1007" s="41"/>
      <c r="U1007" s="73">
        <v>3000</v>
      </c>
      <c r="V1007" s="41"/>
      <c r="W1007" s="41"/>
      <c r="X1007" s="41"/>
      <c r="Y1007" s="41"/>
      <c r="Z1007" s="41"/>
    </row>
    <row r="1008" spans="2:27" x14ac:dyDescent="0.25">
      <c r="B1008" s="5">
        <v>693</v>
      </c>
      <c r="C1008" s="34">
        <v>45644</v>
      </c>
      <c r="D1008" s="5" t="s">
        <v>554</v>
      </c>
      <c r="E1008" s="36">
        <v>31920</v>
      </c>
      <c r="F1008" s="36">
        <f>E1008-G1008</f>
        <v>0</v>
      </c>
      <c r="G1008" s="36">
        <v>31920</v>
      </c>
      <c r="H1008" s="34">
        <v>45807</v>
      </c>
      <c r="I1008" s="34"/>
      <c r="J1008" s="34">
        <v>45824</v>
      </c>
      <c r="K1008" s="5" t="s">
        <v>313</v>
      </c>
      <c r="L1008" s="5" t="s">
        <v>309</v>
      </c>
      <c r="M1008" s="5" t="s">
        <v>308</v>
      </c>
      <c r="N1008" s="45" t="s">
        <v>555</v>
      </c>
      <c r="Q1008" s="41"/>
      <c r="R1008" s="43"/>
      <c r="S1008" s="42"/>
      <c r="T1008" s="35"/>
      <c r="U1008" s="36">
        <v>31920</v>
      </c>
      <c r="V1008" s="35"/>
      <c r="W1008" s="35"/>
      <c r="X1008" s="35"/>
      <c r="Y1008" s="35"/>
      <c r="Z1008" s="35"/>
      <c r="AA1008" s="5"/>
    </row>
    <row r="1009" spans="2:27" x14ac:dyDescent="0.25">
      <c r="B1009" s="5">
        <v>676</v>
      </c>
      <c r="C1009" s="34">
        <v>45637</v>
      </c>
      <c r="D1009" s="5" t="s">
        <v>554</v>
      </c>
      <c r="E1009" s="36">
        <v>2310</v>
      </c>
      <c r="F1009" s="36">
        <f>E1009-G1009</f>
        <v>0</v>
      </c>
      <c r="G1009" s="36">
        <v>2310</v>
      </c>
      <c r="H1009" s="34">
        <v>45792</v>
      </c>
      <c r="I1009" s="34"/>
      <c r="J1009" s="34">
        <v>45824</v>
      </c>
      <c r="K1009" s="5" t="s">
        <v>313</v>
      </c>
      <c r="L1009" s="5" t="s">
        <v>309</v>
      </c>
      <c r="M1009" s="5" t="s">
        <v>308</v>
      </c>
      <c r="N1009" s="45" t="s">
        <v>553</v>
      </c>
      <c r="Q1009" s="41"/>
      <c r="R1009" s="43"/>
      <c r="S1009" s="42"/>
      <c r="T1009" s="35"/>
      <c r="U1009" s="36">
        <v>2310</v>
      </c>
      <c r="V1009" s="35"/>
      <c r="W1009" s="35"/>
      <c r="X1009" s="35"/>
      <c r="Y1009" s="35"/>
      <c r="Z1009" s="35"/>
    </row>
    <row r="1010" spans="2:27" ht="18" customHeight="1" x14ac:dyDescent="0.25">
      <c r="B1010" s="5">
        <v>339</v>
      </c>
      <c r="C1010" s="34">
        <v>45797</v>
      </c>
      <c r="D1010" s="5" t="s">
        <v>552</v>
      </c>
      <c r="E1010" s="36">
        <v>1138.4000000000001</v>
      </c>
      <c r="F1010" s="36">
        <f>E1010-G1010</f>
        <v>0</v>
      </c>
      <c r="G1010" s="36">
        <v>1138.4000000000001</v>
      </c>
      <c r="H1010" s="34">
        <v>45811</v>
      </c>
      <c r="I1010" s="34"/>
      <c r="J1010" s="34">
        <v>45824</v>
      </c>
      <c r="K1010" s="34" t="s">
        <v>348</v>
      </c>
      <c r="L1010" s="34" t="s">
        <v>298</v>
      </c>
      <c r="M1010" s="34"/>
      <c r="N1010" s="39" t="s">
        <v>551</v>
      </c>
      <c r="Q1010" s="41"/>
      <c r="R1010" s="43"/>
      <c r="S1010" s="42"/>
      <c r="T1010" s="35"/>
      <c r="U1010" s="36">
        <v>1138.4000000000001</v>
      </c>
      <c r="V1010" s="41"/>
      <c r="W1010" s="43"/>
      <c r="X1010" s="41"/>
      <c r="Y1010" s="43"/>
      <c r="Z1010" s="42"/>
      <c r="AA1010" s="34"/>
    </row>
    <row r="1011" spans="2:27" ht="16.5" customHeight="1" x14ac:dyDescent="0.25">
      <c r="B1011" s="5">
        <v>587</v>
      </c>
      <c r="C1011" s="34">
        <v>45604</v>
      </c>
      <c r="D1011" s="5" t="s">
        <v>343</v>
      </c>
      <c r="E1011" s="36">
        <v>22000</v>
      </c>
      <c r="F1011" s="36">
        <f>E1011-G1011</f>
        <v>0</v>
      </c>
      <c r="G1011" s="36">
        <v>22000</v>
      </c>
      <c r="H1011" s="34">
        <v>45869</v>
      </c>
      <c r="I1011" s="34"/>
      <c r="J1011" s="34">
        <v>45825</v>
      </c>
      <c r="K1011" s="5" t="s">
        <v>342</v>
      </c>
      <c r="L1011" s="5" t="s">
        <v>309</v>
      </c>
      <c r="M1011" s="5" t="s">
        <v>308</v>
      </c>
      <c r="N1011" s="45" t="s">
        <v>550</v>
      </c>
      <c r="Q1011" s="44"/>
      <c r="R1011" s="44"/>
      <c r="S1011" s="44"/>
      <c r="T1011" s="44"/>
      <c r="U1011" s="40">
        <v>9100</v>
      </c>
      <c r="V1011" s="40">
        <v>8600</v>
      </c>
      <c r="W1011" s="44"/>
      <c r="X1011" s="44"/>
      <c r="Y1011" s="44"/>
      <c r="Z1011" s="44"/>
    </row>
    <row r="1012" spans="2:27" ht="16.5" customHeight="1" x14ac:dyDescent="0.25">
      <c r="B1012" s="5">
        <v>398</v>
      </c>
      <c r="C1012" s="34">
        <v>45824</v>
      </c>
      <c r="D1012" s="5" t="s">
        <v>307</v>
      </c>
      <c r="E1012" s="33">
        <v>26.73</v>
      </c>
      <c r="F1012" s="33">
        <f>E1012-G1012</f>
        <v>0</v>
      </c>
      <c r="G1012" s="33">
        <v>26.73</v>
      </c>
      <c r="H1012" s="34">
        <v>45825</v>
      </c>
      <c r="I1012" s="34"/>
      <c r="J1012" s="34">
        <v>45825</v>
      </c>
      <c r="K1012" s="34" t="s">
        <v>424</v>
      </c>
      <c r="L1012" s="5" t="s">
        <v>298</v>
      </c>
      <c r="Q1012" s="41"/>
      <c r="R1012" s="43"/>
      <c r="S1012" s="42"/>
      <c r="T1012" s="35"/>
      <c r="U1012" s="35"/>
      <c r="V1012" s="35"/>
      <c r="W1012" s="33">
        <v>26.73</v>
      </c>
      <c r="X1012" s="35"/>
      <c r="Y1012" s="35"/>
      <c r="Z1012" s="35"/>
    </row>
    <row r="1013" spans="2:27" x14ac:dyDescent="0.25">
      <c r="B1013" s="5">
        <v>354</v>
      </c>
      <c r="C1013" s="34">
        <v>45804</v>
      </c>
      <c r="D1013" s="5" t="s">
        <v>314</v>
      </c>
      <c r="E1013" s="36">
        <v>676.26</v>
      </c>
      <c r="F1013" s="36">
        <f>E1013-G1013</f>
        <v>0</v>
      </c>
      <c r="G1013" s="36">
        <v>676.26</v>
      </c>
      <c r="H1013" s="34">
        <v>45825</v>
      </c>
      <c r="I1013" s="34"/>
      <c r="J1013" s="34">
        <v>45825</v>
      </c>
      <c r="K1013" s="5" t="s">
        <v>313</v>
      </c>
      <c r="L1013" s="5" t="s">
        <v>309</v>
      </c>
      <c r="M1013" s="5" t="s">
        <v>308</v>
      </c>
      <c r="Q1013" s="41"/>
      <c r="R1013" s="43"/>
      <c r="S1013" s="42"/>
      <c r="T1013" s="35"/>
      <c r="U1013" s="33">
        <v>676.26</v>
      </c>
      <c r="V1013" s="35"/>
      <c r="W1013" s="35"/>
      <c r="X1013" s="35"/>
      <c r="Y1013" s="35"/>
      <c r="Z1013" s="35"/>
    </row>
    <row r="1014" spans="2:27" x14ac:dyDescent="0.25">
      <c r="B1014" s="5">
        <v>375</v>
      </c>
      <c r="C1014" s="34">
        <v>45814</v>
      </c>
      <c r="D1014" s="5" t="s">
        <v>371</v>
      </c>
      <c r="E1014" s="36">
        <v>1280</v>
      </c>
      <c r="F1014" s="36">
        <f>E1014-G1014</f>
        <v>0</v>
      </c>
      <c r="G1014" s="36">
        <v>1280</v>
      </c>
      <c r="H1014" s="34">
        <v>45828</v>
      </c>
      <c r="I1014" s="34"/>
      <c r="J1014" s="34">
        <v>45825</v>
      </c>
      <c r="K1014" s="34" t="s">
        <v>348</v>
      </c>
      <c r="L1014" s="5" t="s">
        <v>298</v>
      </c>
      <c r="Q1014" s="41"/>
      <c r="R1014" s="43"/>
      <c r="S1014" s="42"/>
      <c r="T1014" s="41"/>
      <c r="U1014" s="43"/>
      <c r="V1014" s="42"/>
      <c r="W1014" s="33">
        <v>1280</v>
      </c>
      <c r="X1014" s="41"/>
      <c r="Y1014" s="43"/>
      <c r="Z1014" s="42"/>
    </row>
    <row r="1015" spans="2:27" x14ac:dyDescent="0.25">
      <c r="B1015" s="5">
        <v>399</v>
      </c>
      <c r="C1015" s="34">
        <v>45824</v>
      </c>
      <c r="D1015" s="5" t="s">
        <v>549</v>
      </c>
      <c r="E1015" s="33">
        <v>8280</v>
      </c>
      <c r="F1015" s="33">
        <f>E1015-G1015</f>
        <v>0</v>
      </c>
      <c r="G1015" s="33">
        <v>8280</v>
      </c>
      <c r="H1015" s="34">
        <v>45831</v>
      </c>
      <c r="I1015" s="34"/>
      <c r="J1015" s="34">
        <v>45825</v>
      </c>
      <c r="K1015" s="34" t="s">
        <v>365</v>
      </c>
      <c r="L1015" s="34" t="s">
        <v>298</v>
      </c>
      <c r="Q1015" s="41"/>
      <c r="R1015" s="43"/>
      <c r="S1015" s="42"/>
      <c r="T1015" s="35"/>
      <c r="U1015" s="33">
        <v>8280</v>
      </c>
      <c r="V1015" s="41"/>
      <c r="W1015" s="43"/>
      <c r="X1015" s="42"/>
      <c r="Y1015" s="35"/>
      <c r="Z1015" s="35"/>
    </row>
    <row r="1016" spans="2:27" x14ac:dyDescent="0.25">
      <c r="B1016" s="5">
        <v>395</v>
      </c>
      <c r="C1016" s="34">
        <v>45821</v>
      </c>
      <c r="D1016" s="5" t="s">
        <v>307</v>
      </c>
      <c r="E1016" s="36">
        <v>110.19</v>
      </c>
      <c r="F1016" s="36">
        <f>E1016-G1016</f>
        <v>0</v>
      </c>
      <c r="G1016" s="36">
        <v>110.19</v>
      </c>
      <c r="H1016" s="34">
        <v>45826</v>
      </c>
      <c r="I1016" s="34"/>
      <c r="J1016" s="34">
        <v>45825</v>
      </c>
      <c r="K1016" s="34" t="s">
        <v>424</v>
      </c>
      <c r="L1016" s="34" t="s">
        <v>303</v>
      </c>
      <c r="Q1016" s="41"/>
      <c r="R1016" s="43"/>
      <c r="S1016" s="42"/>
      <c r="T1016" s="35"/>
      <c r="U1016" s="35"/>
      <c r="V1016" s="35"/>
      <c r="W1016" s="33">
        <v>110.19</v>
      </c>
      <c r="X1016" s="35"/>
      <c r="Y1016" s="35"/>
      <c r="Z1016" s="35"/>
    </row>
    <row r="1017" spans="2:27" x14ac:dyDescent="0.25">
      <c r="B1017" s="5">
        <v>389</v>
      </c>
      <c r="C1017" s="34">
        <v>45820</v>
      </c>
      <c r="D1017" s="5" t="s">
        <v>307</v>
      </c>
      <c r="E1017" s="36">
        <v>13.18</v>
      </c>
      <c r="F1017" s="36">
        <f>E1017-G1017</f>
        <v>0</v>
      </c>
      <c r="G1017" s="36">
        <v>13.18</v>
      </c>
      <c r="H1017" s="34">
        <v>45824</v>
      </c>
      <c r="I1017" s="34"/>
      <c r="J1017" s="34">
        <v>45825</v>
      </c>
      <c r="K1017" s="34" t="s">
        <v>424</v>
      </c>
      <c r="L1017" s="5" t="s">
        <v>298</v>
      </c>
      <c r="Q1017" s="42"/>
      <c r="R1017" s="42"/>
      <c r="S1017" s="42"/>
      <c r="T1017" s="42"/>
      <c r="U1017" s="42"/>
      <c r="V1017" s="42"/>
      <c r="W1017" s="33">
        <v>13.18</v>
      </c>
      <c r="X1017" s="42"/>
      <c r="Y1017" s="42"/>
      <c r="Z1017" s="42"/>
    </row>
    <row r="1018" spans="2:27" x14ac:dyDescent="0.25">
      <c r="B1018" s="5">
        <v>390</v>
      </c>
      <c r="C1018" s="34">
        <v>45820</v>
      </c>
      <c r="D1018" s="5" t="s">
        <v>307</v>
      </c>
      <c r="E1018" s="36">
        <v>13.18</v>
      </c>
      <c r="F1018" s="36">
        <f>E1018-G1018</f>
        <v>0</v>
      </c>
      <c r="G1018" s="36">
        <v>13.18</v>
      </c>
      <c r="H1018" s="34">
        <v>45824</v>
      </c>
      <c r="I1018" s="34"/>
      <c r="J1018" s="34">
        <v>45825</v>
      </c>
      <c r="K1018" s="34" t="s">
        <v>509</v>
      </c>
      <c r="L1018" s="34" t="s">
        <v>298</v>
      </c>
      <c r="Q1018" s="42"/>
      <c r="R1018" s="42"/>
      <c r="S1018" s="42"/>
      <c r="T1018" s="42"/>
      <c r="U1018" s="42"/>
      <c r="V1018" s="42"/>
      <c r="W1018" s="33">
        <v>13.18</v>
      </c>
      <c r="X1018" s="42"/>
      <c r="Y1018" s="42"/>
      <c r="Z1018" s="42"/>
    </row>
    <row r="1019" spans="2:27" x14ac:dyDescent="0.25">
      <c r="B1019" s="5">
        <v>281</v>
      </c>
      <c r="C1019" s="34">
        <v>45419</v>
      </c>
      <c r="D1019" s="5" t="s">
        <v>463</v>
      </c>
      <c r="E1019" s="36">
        <v>7200</v>
      </c>
      <c r="F1019" s="36">
        <f>E1019-G1019</f>
        <v>0</v>
      </c>
      <c r="G1019" s="36">
        <v>7200</v>
      </c>
      <c r="H1019" s="34">
        <v>45504</v>
      </c>
      <c r="I1019" s="34"/>
      <c r="J1019" s="34">
        <v>45800</v>
      </c>
      <c r="K1019" s="34" t="s">
        <v>348</v>
      </c>
      <c r="L1019" s="5" t="s">
        <v>298</v>
      </c>
      <c r="N1019" s="45" t="s">
        <v>548</v>
      </c>
      <c r="Q1019" s="41"/>
      <c r="R1019" s="43"/>
      <c r="S1019" s="42"/>
      <c r="T1019" s="36">
        <v>2160</v>
      </c>
      <c r="U1019" s="40">
        <v>2880</v>
      </c>
      <c r="V1019" s="35"/>
      <c r="W1019" s="35"/>
      <c r="X1019" s="35"/>
      <c r="Y1019" s="35"/>
      <c r="Z1019" s="35"/>
    </row>
    <row r="1020" spans="2:27" x14ac:dyDescent="0.25">
      <c r="B1020" s="5">
        <v>326</v>
      </c>
      <c r="C1020" s="34">
        <v>45790</v>
      </c>
      <c r="D1020" s="5" t="s">
        <v>463</v>
      </c>
      <c r="E1020" s="36">
        <v>7000</v>
      </c>
      <c r="F1020" s="36">
        <f>E1020-G1020</f>
        <v>0</v>
      </c>
      <c r="G1020" s="36">
        <v>7000</v>
      </c>
      <c r="H1020" s="34">
        <v>45869</v>
      </c>
      <c r="I1020" s="34"/>
      <c r="K1020" s="34" t="s">
        <v>348</v>
      </c>
      <c r="L1020" s="34" t="s">
        <v>298</v>
      </c>
      <c r="M1020" s="34"/>
      <c r="N1020" s="39" t="s">
        <v>548</v>
      </c>
      <c r="Q1020" s="41"/>
      <c r="R1020" s="41"/>
      <c r="S1020" s="49">
        <v>3500</v>
      </c>
      <c r="T1020" s="41"/>
      <c r="U1020" s="51">
        <v>3500</v>
      </c>
      <c r="V1020" s="41"/>
      <c r="W1020" s="41"/>
      <c r="X1020" s="41"/>
      <c r="Y1020" s="41"/>
      <c r="Z1020" s="41"/>
    </row>
    <row r="1021" spans="2:27" x14ac:dyDescent="0.25">
      <c r="B1021" s="5">
        <v>156</v>
      </c>
      <c r="C1021" s="34">
        <v>45726</v>
      </c>
      <c r="D1021" s="5" t="s">
        <v>547</v>
      </c>
      <c r="E1021" s="36">
        <v>1359</v>
      </c>
      <c r="F1021" s="36">
        <f>E1021-G1021</f>
        <v>0</v>
      </c>
      <c r="G1021" s="36">
        <v>1359</v>
      </c>
      <c r="H1021" s="34">
        <v>45777</v>
      </c>
      <c r="I1021" s="34"/>
      <c r="J1021" s="34">
        <v>45826</v>
      </c>
      <c r="K1021" s="5" t="s">
        <v>367</v>
      </c>
      <c r="L1021" s="5" t="s">
        <v>298</v>
      </c>
      <c r="Q1021" s="41"/>
      <c r="R1021" s="41"/>
      <c r="S1021" s="41"/>
      <c r="T1021" s="41"/>
      <c r="U1021" s="41"/>
      <c r="V1021" s="41"/>
      <c r="W1021" s="36">
        <v>1359</v>
      </c>
      <c r="X1021" s="41"/>
      <c r="Y1021" s="41"/>
      <c r="Z1021" s="41"/>
    </row>
    <row r="1022" spans="2:27" x14ac:dyDescent="0.25">
      <c r="B1022" s="5">
        <v>392</v>
      </c>
      <c r="C1022" s="34">
        <v>45821</v>
      </c>
      <c r="D1022" s="5" t="s">
        <v>491</v>
      </c>
      <c r="E1022" s="36">
        <v>40.5</v>
      </c>
      <c r="F1022" s="36">
        <f>E1022-G1022</f>
        <v>0</v>
      </c>
      <c r="G1022" s="36">
        <v>40.5</v>
      </c>
      <c r="H1022" s="34">
        <v>45824</v>
      </c>
      <c r="I1022" s="34"/>
      <c r="J1022" s="34">
        <v>45826</v>
      </c>
      <c r="K1022" s="5" t="s">
        <v>367</v>
      </c>
      <c r="L1022" s="5" t="s">
        <v>298</v>
      </c>
      <c r="Q1022" s="42"/>
      <c r="R1022" s="42"/>
      <c r="S1022" s="42"/>
      <c r="T1022" s="42"/>
      <c r="U1022" s="33">
        <v>40.5</v>
      </c>
      <c r="V1022" s="42"/>
      <c r="W1022" s="42"/>
      <c r="X1022" s="42"/>
      <c r="Y1022" s="42"/>
      <c r="Z1022" s="42"/>
    </row>
    <row r="1023" spans="2:27" x14ac:dyDescent="0.25">
      <c r="B1023" s="5">
        <v>385</v>
      </c>
      <c r="C1023" s="34">
        <v>45819</v>
      </c>
      <c r="D1023" s="5" t="s">
        <v>300</v>
      </c>
      <c r="E1023" s="36">
        <v>677.4</v>
      </c>
      <c r="F1023" s="36">
        <f>E1023-G1023</f>
        <v>0</v>
      </c>
      <c r="G1023" s="36">
        <v>677.4</v>
      </c>
      <c r="H1023" s="34">
        <v>45826</v>
      </c>
      <c r="I1023" s="34"/>
      <c r="J1023" s="34">
        <v>45828</v>
      </c>
      <c r="K1023" s="5" t="s">
        <v>313</v>
      </c>
      <c r="L1023" s="5" t="s">
        <v>298</v>
      </c>
      <c r="Q1023" s="44"/>
      <c r="R1023" s="44"/>
      <c r="S1023" s="44"/>
      <c r="T1023" s="44"/>
      <c r="U1023" s="44"/>
      <c r="V1023" s="33">
        <v>677.4</v>
      </c>
      <c r="W1023" s="44"/>
      <c r="X1023" s="44"/>
      <c r="Y1023" s="44"/>
      <c r="Z1023" s="44"/>
    </row>
    <row r="1024" spans="2:27" x14ac:dyDescent="0.25">
      <c r="B1024" s="5">
        <v>387</v>
      </c>
      <c r="C1024" s="34">
        <v>45820</v>
      </c>
      <c r="D1024" s="5" t="s">
        <v>300</v>
      </c>
      <c r="E1024" s="36">
        <v>12</v>
      </c>
      <c r="F1024" s="36">
        <f>E1024-G1024</f>
        <v>0</v>
      </c>
      <c r="G1024" s="36">
        <v>12</v>
      </c>
      <c r="H1024" s="34">
        <v>45826</v>
      </c>
      <c r="I1024" s="34"/>
      <c r="J1024" s="34">
        <v>45828</v>
      </c>
      <c r="K1024" s="5" t="s">
        <v>509</v>
      </c>
      <c r="L1024" s="5" t="s">
        <v>298</v>
      </c>
      <c r="Q1024" s="44"/>
      <c r="R1024" s="44"/>
      <c r="S1024" s="44"/>
      <c r="T1024" s="44"/>
      <c r="U1024" s="44"/>
      <c r="V1024" s="33">
        <v>12</v>
      </c>
      <c r="W1024" s="44"/>
      <c r="X1024" s="44"/>
      <c r="Y1024" s="44"/>
      <c r="Z1024" s="44"/>
    </row>
    <row r="1025" spans="2:27" x14ac:dyDescent="0.25">
      <c r="B1025" s="5">
        <v>388</v>
      </c>
      <c r="C1025" s="34">
        <v>45820</v>
      </c>
      <c r="D1025" s="5" t="s">
        <v>300</v>
      </c>
      <c r="E1025" s="36">
        <v>6</v>
      </c>
      <c r="F1025" s="36">
        <f>E1025-G1025</f>
        <v>0</v>
      </c>
      <c r="G1025" s="36">
        <v>6</v>
      </c>
      <c r="H1025" s="34">
        <v>45826</v>
      </c>
      <c r="I1025" s="34"/>
      <c r="J1025" s="34">
        <v>45828</v>
      </c>
      <c r="K1025" s="34" t="s">
        <v>424</v>
      </c>
      <c r="L1025" s="5" t="s">
        <v>298</v>
      </c>
      <c r="Q1025" s="44"/>
      <c r="R1025" s="44"/>
      <c r="S1025" s="44"/>
      <c r="T1025" s="44"/>
      <c r="U1025" s="44"/>
      <c r="V1025" s="33">
        <v>6</v>
      </c>
      <c r="W1025" s="44"/>
      <c r="X1025" s="44"/>
      <c r="Y1025" s="44"/>
      <c r="Z1025" s="44"/>
    </row>
    <row r="1026" spans="2:27" x14ac:dyDescent="0.25">
      <c r="B1026" s="5">
        <v>49</v>
      </c>
      <c r="C1026" s="34">
        <v>45679</v>
      </c>
      <c r="D1026" s="5" t="s">
        <v>470</v>
      </c>
      <c r="E1026" s="36">
        <v>9100</v>
      </c>
      <c r="F1026" s="36">
        <f>E1026-G1026</f>
        <v>0</v>
      </c>
      <c r="G1026" s="36">
        <v>9100</v>
      </c>
      <c r="H1026" s="34">
        <v>45792</v>
      </c>
      <c r="I1026" s="34"/>
      <c r="J1026" s="34">
        <v>45828</v>
      </c>
      <c r="K1026" s="5" t="s">
        <v>471</v>
      </c>
      <c r="L1026" s="5" t="s">
        <v>298</v>
      </c>
      <c r="Q1026" s="44"/>
      <c r="R1026" s="44"/>
      <c r="S1026" s="44"/>
      <c r="T1026" s="36">
        <v>9100</v>
      </c>
      <c r="U1026" s="44"/>
      <c r="V1026" s="44"/>
      <c r="W1026" s="44"/>
      <c r="X1026" s="44"/>
      <c r="Y1026" s="44"/>
      <c r="Z1026" s="44"/>
    </row>
    <row r="1027" spans="2:27" x14ac:dyDescent="0.25">
      <c r="B1027" s="5">
        <v>404</v>
      </c>
      <c r="C1027" s="34">
        <v>45826</v>
      </c>
      <c r="D1027" s="5" t="s">
        <v>436</v>
      </c>
      <c r="E1027" s="36">
        <v>100</v>
      </c>
      <c r="F1027" s="36">
        <f>E1027-G1027</f>
        <v>0</v>
      </c>
      <c r="G1027" s="36">
        <v>100</v>
      </c>
      <c r="H1027" s="34">
        <v>45828</v>
      </c>
      <c r="I1027" s="34"/>
      <c r="J1027" s="34">
        <v>45828</v>
      </c>
      <c r="K1027" s="34" t="s">
        <v>424</v>
      </c>
      <c r="L1027" s="5" t="s">
        <v>298</v>
      </c>
      <c r="Q1027" s="44"/>
      <c r="R1027" s="44"/>
      <c r="S1027" s="44"/>
      <c r="T1027" s="44"/>
      <c r="U1027" s="44"/>
      <c r="V1027" s="33">
        <v>100</v>
      </c>
      <c r="W1027" s="44"/>
      <c r="X1027" s="44"/>
      <c r="Y1027" s="44"/>
      <c r="Z1027" s="44"/>
    </row>
    <row r="1028" spans="2:27" x14ac:dyDescent="0.25">
      <c r="B1028" s="5">
        <v>341</v>
      </c>
      <c r="C1028" s="34">
        <v>45797</v>
      </c>
      <c r="D1028" s="5" t="s">
        <v>436</v>
      </c>
      <c r="E1028" s="36">
        <v>242</v>
      </c>
      <c r="F1028" s="36">
        <f>E1028-G1028</f>
        <v>0</v>
      </c>
      <c r="G1028" s="36">
        <v>242</v>
      </c>
      <c r="H1028" s="34">
        <v>45807</v>
      </c>
      <c r="I1028" s="34"/>
      <c r="J1028" s="34">
        <v>45828</v>
      </c>
      <c r="K1028" s="34" t="s">
        <v>424</v>
      </c>
      <c r="L1028" s="5" t="s">
        <v>298</v>
      </c>
      <c r="Q1028" s="44"/>
      <c r="R1028" s="44"/>
      <c r="S1028" s="44"/>
      <c r="T1028" s="44"/>
      <c r="U1028" s="44"/>
      <c r="V1028" s="36">
        <v>242</v>
      </c>
      <c r="W1028" s="44"/>
      <c r="X1028" s="44"/>
      <c r="Y1028" s="44"/>
      <c r="Z1028" s="44"/>
      <c r="AA1028" s="5"/>
    </row>
    <row r="1029" spans="2:27" x14ac:dyDescent="0.25">
      <c r="B1029" s="5">
        <v>372</v>
      </c>
      <c r="C1029" s="34">
        <v>45813</v>
      </c>
      <c r="D1029" s="5" t="s">
        <v>436</v>
      </c>
      <c r="E1029" s="36">
        <v>113</v>
      </c>
      <c r="F1029" s="36">
        <f>E1029-G1029</f>
        <v>0</v>
      </c>
      <c r="G1029" s="36">
        <v>113</v>
      </c>
      <c r="H1029" s="34">
        <v>45821</v>
      </c>
      <c r="I1029" s="34"/>
      <c r="J1029" s="34">
        <v>45828</v>
      </c>
      <c r="K1029" s="34" t="s">
        <v>424</v>
      </c>
      <c r="L1029" s="5" t="s">
        <v>298</v>
      </c>
      <c r="Q1029" s="44"/>
      <c r="R1029" s="44"/>
      <c r="S1029" s="44"/>
      <c r="T1029" s="44"/>
      <c r="U1029" s="44"/>
      <c r="V1029" s="36">
        <v>113</v>
      </c>
      <c r="W1029" s="44"/>
      <c r="X1029" s="44"/>
      <c r="Y1029" s="44"/>
      <c r="Z1029" s="44"/>
      <c r="AA1029" s="5"/>
    </row>
    <row r="1030" spans="2:27" x14ac:dyDescent="0.25">
      <c r="B1030" s="5">
        <v>382</v>
      </c>
      <c r="C1030" s="34">
        <v>45819</v>
      </c>
      <c r="D1030" s="5" t="s">
        <v>481</v>
      </c>
      <c r="E1030" s="36">
        <v>680</v>
      </c>
      <c r="F1030" s="36">
        <f>E1030-G1030</f>
        <v>0</v>
      </c>
      <c r="G1030" s="36">
        <v>680</v>
      </c>
      <c r="H1030" s="34">
        <v>45826</v>
      </c>
      <c r="I1030" s="34"/>
      <c r="J1030" s="34">
        <v>45828</v>
      </c>
      <c r="K1030" s="34" t="s">
        <v>424</v>
      </c>
      <c r="L1030" s="5" t="s">
        <v>309</v>
      </c>
      <c r="Q1030" s="44"/>
      <c r="R1030" s="44"/>
      <c r="S1030" s="44"/>
      <c r="T1030" s="44"/>
      <c r="U1030" s="44"/>
      <c r="V1030" s="36">
        <v>680</v>
      </c>
      <c r="W1030" s="44"/>
      <c r="X1030" s="44"/>
      <c r="Y1030" s="44"/>
      <c r="Z1030" s="44"/>
    </row>
    <row r="1031" spans="2:27" x14ac:dyDescent="0.25">
      <c r="B1031" s="5">
        <v>400</v>
      </c>
      <c r="C1031" s="34">
        <v>45824</v>
      </c>
      <c r="D1031" s="5" t="s">
        <v>257</v>
      </c>
      <c r="E1031" s="36">
        <v>4065.5</v>
      </c>
      <c r="F1031" s="36">
        <f>E1031-G1031</f>
        <v>0</v>
      </c>
      <c r="G1031" s="36">
        <v>4065.5</v>
      </c>
      <c r="H1031" s="34">
        <v>45832</v>
      </c>
      <c r="I1031" s="34"/>
      <c r="J1031" s="34">
        <v>45831</v>
      </c>
      <c r="K1031" s="34" t="s">
        <v>373</v>
      </c>
      <c r="L1031" s="34" t="s">
        <v>309</v>
      </c>
      <c r="M1031" s="34" t="s">
        <v>308</v>
      </c>
      <c r="Q1031" s="41"/>
      <c r="R1031" s="43"/>
      <c r="S1031" s="42"/>
      <c r="T1031" s="35"/>
      <c r="U1031" s="33">
        <v>4065.5</v>
      </c>
      <c r="V1031" s="35"/>
      <c r="W1031" s="35"/>
      <c r="X1031" s="35"/>
      <c r="Y1031" s="35"/>
      <c r="Z1031" s="35"/>
    </row>
    <row r="1032" spans="2:27" x14ac:dyDescent="0.25">
      <c r="B1032" s="5">
        <v>412</v>
      </c>
      <c r="C1032" s="34">
        <v>45828</v>
      </c>
      <c r="D1032" s="5" t="s">
        <v>307</v>
      </c>
      <c r="E1032" s="36">
        <v>74.7</v>
      </c>
      <c r="F1032" s="36">
        <f>E1032-G1032</f>
        <v>0</v>
      </c>
      <c r="G1032" s="36">
        <v>74.7</v>
      </c>
      <c r="H1032" s="34">
        <v>45831</v>
      </c>
      <c r="I1032" s="34"/>
      <c r="J1032" s="34">
        <v>45831</v>
      </c>
      <c r="K1032" s="34" t="s">
        <v>424</v>
      </c>
      <c r="L1032" s="34" t="s">
        <v>298</v>
      </c>
      <c r="Q1032" s="41"/>
      <c r="R1032" s="43"/>
      <c r="S1032" s="42"/>
      <c r="T1032" s="35"/>
      <c r="U1032" s="35"/>
      <c r="V1032" s="35"/>
      <c r="W1032" s="33">
        <v>74.7</v>
      </c>
      <c r="X1032" s="35"/>
      <c r="Y1032" s="35"/>
      <c r="Z1032" s="35"/>
    </row>
    <row r="1033" spans="2:27" x14ac:dyDescent="0.25">
      <c r="B1033" s="5">
        <v>278</v>
      </c>
      <c r="C1033" s="34">
        <v>45764</v>
      </c>
      <c r="D1033" s="5" t="s">
        <v>446</v>
      </c>
      <c r="E1033" s="36">
        <v>643.5</v>
      </c>
      <c r="F1033" s="36">
        <f>E1033-G1033</f>
        <v>0</v>
      </c>
      <c r="G1033" s="36">
        <v>643.5</v>
      </c>
      <c r="H1033" s="34">
        <v>45793</v>
      </c>
      <c r="I1033" s="34"/>
      <c r="J1033" s="34">
        <v>45812</v>
      </c>
      <c r="K1033" s="5" t="s">
        <v>313</v>
      </c>
      <c r="L1033" s="5" t="s">
        <v>298</v>
      </c>
      <c r="Q1033" s="41"/>
      <c r="R1033" s="43"/>
      <c r="S1033" s="42"/>
      <c r="T1033" s="35"/>
      <c r="U1033" s="36">
        <v>643.5</v>
      </c>
      <c r="V1033" s="41"/>
      <c r="W1033" s="43"/>
      <c r="X1033" s="41"/>
      <c r="Y1033" s="43"/>
      <c r="Z1033" s="42"/>
      <c r="AA1033" s="34"/>
    </row>
    <row r="1034" spans="2:27" x14ac:dyDescent="0.25">
      <c r="B1034" s="5">
        <v>406</v>
      </c>
      <c r="C1034" s="34">
        <v>45827</v>
      </c>
      <c r="D1034" s="5" t="s">
        <v>375</v>
      </c>
      <c r="E1034" s="36">
        <v>94.67</v>
      </c>
      <c r="F1034" s="36">
        <f>E1034-G1034</f>
        <v>0</v>
      </c>
      <c r="G1034" s="36">
        <v>94.67</v>
      </c>
      <c r="H1034" s="34">
        <v>45831</v>
      </c>
      <c r="I1034" s="34"/>
      <c r="J1034" s="34">
        <v>45832</v>
      </c>
      <c r="K1034" s="34" t="s">
        <v>536</v>
      </c>
      <c r="L1034" s="34" t="s">
        <v>309</v>
      </c>
      <c r="M1034" s="34" t="s">
        <v>308</v>
      </c>
      <c r="Q1034" s="41"/>
      <c r="R1034" s="43"/>
      <c r="S1034" s="42"/>
      <c r="T1034" s="35"/>
      <c r="U1034" s="33">
        <v>94.67</v>
      </c>
      <c r="V1034" s="35"/>
      <c r="W1034" s="35"/>
      <c r="X1034" s="35"/>
      <c r="Y1034" s="35"/>
      <c r="Z1034" s="35"/>
    </row>
    <row r="1035" spans="2:27" x14ac:dyDescent="0.25">
      <c r="B1035" s="5">
        <v>405</v>
      </c>
      <c r="C1035" s="34">
        <v>45827</v>
      </c>
      <c r="D1035" s="5" t="s">
        <v>300</v>
      </c>
      <c r="E1035" s="36">
        <v>332</v>
      </c>
      <c r="F1035" s="36">
        <f>E1035-G1035</f>
        <v>0</v>
      </c>
      <c r="G1035" s="36">
        <v>332</v>
      </c>
      <c r="H1035" s="34">
        <v>45834</v>
      </c>
      <c r="I1035" s="34"/>
      <c r="J1035" s="34">
        <v>45832</v>
      </c>
      <c r="K1035" s="34" t="s">
        <v>546</v>
      </c>
      <c r="L1035" s="34" t="s">
        <v>298</v>
      </c>
      <c r="Q1035" s="41"/>
      <c r="R1035" s="41"/>
      <c r="S1035" s="41"/>
      <c r="T1035" s="41"/>
      <c r="U1035" s="41"/>
      <c r="V1035" s="33">
        <v>332</v>
      </c>
      <c r="W1035" s="41"/>
      <c r="X1035" s="41"/>
      <c r="Y1035" s="41"/>
      <c r="Z1035" s="41"/>
    </row>
    <row r="1036" spans="2:27" x14ac:dyDescent="0.25">
      <c r="B1036" s="5">
        <v>414</v>
      </c>
      <c r="C1036" s="34">
        <v>45831</v>
      </c>
      <c r="D1036" s="5" t="s">
        <v>331</v>
      </c>
      <c r="E1036" s="36">
        <v>230.75</v>
      </c>
      <c r="F1036" s="36">
        <f>E1036-G1036</f>
        <v>0</v>
      </c>
      <c r="G1036" s="36">
        <v>230.75</v>
      </c>
      <c r="H1036" s="34">
        <v>45835</v>
      </c>
      <c r="I1036" s="34"/>
      <c r="J1036" s="34">
        <v>45832</v>
      </c>
      <c r="K1036" s="34" t="s">
        <v>545</v>
      </c>
      <c r="L1036" s="34" t="s">
        <v>298</v>
      </c>
      <c r="Q1036" s="41"/>
      <c r="R1036" s="43"/>
      <c r="S1036" s="42"/>
      <c r="T1036" s="35"/>
      <c r="U1036" s="33">
        <v>230.75</v>
      </c>
      <c r="V1036" s="35"/>
      <c r="W1036" s="35"/>
      <c r="X1036" s="35"/>
      <c r="Y1036" s="35"/>
      <c r="Z1036" s="35"/>
    </row>
    <row r="1037" spans="2:27" x14ac:dyDescent="0.25">
      <c r="B1037" s="5">
        <v>408</v>
      </c>
      <c r="C1037" s="34">
        <v>45828</v>
      </c>
      <c r="D1037" s="5" t="s">
        <v>23</v>
      </c>
      <c r="E1037" s="36">
        <v>188.88</v>
      </c>
      <c r="F1037" s="36">
        <f>E1037-G1037</f>
        <v>0</v>
      </c>
      <c r="G1037" s="36">
        <v>188.88</v>
      </c>
      <c r="H1037" s="34">
        <v>45831</v>
      </c>
      <c r="I1037" s="34"/>
      <c r="J1037" s="34">
        <v>45832</v>
      </c>
      <c r="K1037" s="34" t="s">
        <v>544</v>
      </c>
      <c r="L1037" s="34" t="s">
        <v>298</v>
      </c>
      <c r="Q1037" s="41"/>
      <c r="R1037" s="43"/>
      <c r="S1037" s="42"/>
      <c r="T1037" s="35"/>
      <c r="U1037" s="33">
        <v>188.88</v>
      </c>
      <c r="V1037" s="35"/>
      <c r="W1037" s="35"/>
      <c r="X1037" s="35"/>
      <c r="Y1037" s="35"/>
      <c r="Z1037" s="35"/>
    </row>
    <row r="1038" spans="2:27" x14ac:dyDescent="0.25">
      <c r="B1038" s="5">
        <v>167</v>
      </c>
      <c r="C1038" s="34">
        <v>45729</v>
      </c>
      <c r="D1038" s="5" t="s">
        <v>307</v>
      </c>
      <c r="E1038" s="36">
        <v>2625.64</v>
      </c>
      <c r="F1038" s="36">
        <f>E1038-G1038</f>
        <v>0</v>
      </c>
      <c r="G1038" s="36">
        <v>2625.64</v>
      </c>
      <c r="H1038" s="34">
        <v>45734</v>
      </c>
      <c r="I1038" s="34"/>
      <c r="J1038" s="34">
        <v>45820</v>
      </c>
      <c r="K1038" s="5" t="s">
        <v>367</v>
      </c>
      <c r="L1038" s="5" t="s">
        <v>303</v>
      </c>
      <c r="Q1038" s="41"/>
      <c r="R1038" s="43"/>
      <c r="S1038" s="42"/>
      <c r="T1038" s="36">
        <v>2577.87</v>
      </c>
      <c r="U1038" s="35"/>
      <c r="V1038" s="35"/>
      <c r="W1038" s="40">
        <v>47.77</v>
      </c>
      <c r="X1038" s="35"/>
      <c r="Y1038" s="35"/>
      <c r="Z1038" s="35"/>
    </row>
    <row r="1039" spans="2:27" x14ac:dyDescent="0.25">
      <c r="B1039" s="5">
        <v>111</v>
      </c>
      <c r="C1039" s="34">
        <v>45706</v>
      </c>
      <c r="D1039" s="5" t="s">
        <v>23</v>
      </c>
      <c r="E1039" s="36">
        <v>168.3</v>
      </c>
      <c r="F1039" s="36">
        <f>E1039-G1039</f>
        <v>0</v>
      </c>
      <c r="G1039" s="36">
        <v>168.3</v>
      </c>
      <c r="H1039" s="34">
        <v>45712</v>
      </c>
      <c r="I1039" s="34"/>
      <c r="J1039" s="34">
        <v>45784</v>
      </c>
      <c r="K1039" s="5" t="s">
        <v>382</v>
      </c>
      <c r="L1039" s="5" t="s">
        <v>298</v>
      </c>
      <c r="Q1039" s="36">
        <v>165.1</v>
      </c>
      <c r="R1039" s="43"/>
      <c r="S1039" s="42"/>
      <c r="T1039" s="64">
        <v>3.2</v>
      </c>
      <c r="U1039" s="35"/>
      <c r="V1039" s="35"/>
      <c r="W1039" s="35"/>
      <c r="X1039" s="35"/>
      <c r="Y1039" s="35"/>
      <c r="Z1039" s="35"/>
    </row>
    <row r="1040" spans="2:27" x14ac:dyDescent="0.25">
      <c r="B1040" s="5">
        <v>199</v>
      </c>
      <c r="C1040" s="34">
        <v>45740</v>
      </c>
      <c r="D1040" s="5" t="s">
        <v>177</v>
      </c>
      <c r="E1040" s="36">
        <v>600.4</v>
      </c>
      <c r="F1040" s="36">
        <f>E1040-G1040</f>
        <v>0</v>
      </c>
      <c r="G1040" s="36">
        <v>600.4</v>
      </c>
      <c r="H1040" s="34">
        <v>45744</v>
      </c>
      <c r="I1040" s="34"/>
      <c r="J1040" s="34">
        <v>45749</v>
      </c>
      <c r="K1040" s="34" t="s">
        <v>543</v>
      </c>
      <c r="L1040" s="5" t="s">
        <v>303</v>
      </c>
      <c r="Q1040" s="41"/>
      <c r="R1040" s="33">
        <v>426</v>
      </c>
      <c r="S1040" s="49">
        <v>174.4</v>
      </c>
      <c r="T1040" s="35"/>
      <c r="U1040" s="35"/>
      <c r="V1040" s="35"/>
      <c r="W1040" s="35"/>
      <c r="X1040" s="35"/>
      <c r="Y1040" s="35"/>
      <c r="Z1040" s="35"/>
    </row>
    <row r="1041" spans="2:27" x14ac:dyDescent="0.25">
      <c r="B1041" s="5">
        <v>419</v>
      </c>
      <c r="C1041" s="34">
        <v>45832</v>
      </c>
      <c r="D1041" s="5" t="s">
        <v>426</v>
      </c>
      <c r="E1041" s="36">
        <v>275</v>
      </c>
      <c r="F1041" s="36">
        <f>E1041-G1041</f>
        <v>0</v>
      </c>
      <c r="G1041" s="36">
        <v>275</v>
      </c>
      <c r="H1041" s="34">
        <v>45838</v>
      </c>
      <c r="I1041" s="34"/>
      <c r="J1041" s="34">
        <v>45834</v>
      </c>
      <c r="K1041" s="34" t="s">
        <v>396</v>
      </c>
      <c r="L1041" s="34" t="s">
        <v>298</v>
      </c>
      <c r="Q1041" s="41"/>
      <c r="R1041" s="43"/>
      <c r="S1041" s="42"/>
      <c r="T1041" s="33">
        <v>275</v>
      </c>
      <c r="U1041" s="35"/>
      <c r="V1041" s="35"/>
      <c r="W1041" s="35"/>
      <c r="X1041" s="35"/>
      <c r="Y1041" s="35"/>
      <c r="Z1041" s="35"/>
      <c r="AA1041" s="37"/>
    </row>
    <row r="1042" spans="2:27" x14ac:dyDescent="0.25">
      <c r="B1042" s="5">
        <v>420</v>
      </c>
      <c r="C1042" s="34">
        <v>45832</v>
      </c>
      <c r="D1042" s="5" t="s">
        <v>426</v>
      </c>
      <c r="E1042" s="36">
        <v>3200</v>
      </c>
      <c r="F1042" s="36">
        <f>E1042-G1042</f>
        <v>0</v>
      </c>
      <c r="G1042" s="36">
        <v>3200</v>
      </c>
      <c r="H1042" s="34">
        <v>45838</v>
      </c>
      <c r="I1042" s="34"/>
      <c r="J1042" s="34">
        <v>45834</v>
      </c>
      <c r="K1042" s="34" t="s">
        <v>348</v>
      </c>
      <c r="L1042" s="34" t="s">
        <v>298</v>
      </c>
      <c r="Q1042" s="41"/>
      <c r="R1042" s="43"/>
      <c r="S1042" s="42"/>
      <c r="T1042" s="40">
        <v>3200</v>
      </c>
      <c r="U1042" s="35"/>
      <c r="V1042" s="35"/>
      <c r="W1042" s="35"/>
      <c r="X1042" s="35"/>
      <c r="Y1042" s="35"/>
      <c r="Z1042" s="35"/>
      <c r="AA1042" s="37"/>
    </row>
    <row r="1043" spans="2:27" x14ac:dyDescent="0.25">
      <c r="B1043" s="5">
        <v>178</v>
      </c>
      <c r="C1043" s="34">
        <v>45730</v>
      </c>
      <c r="D1043" s="5" t="s">
        <v>426</v>
      </c>
      <c r="E1043" s="36">
        <v>52000</v>
      </c>
      <c r="F1043" s="36">
        <f>E1043-G1043</f>
        <v>0</v>
      </c>
      <c r="G1043" s="36">
        <v>52000</v>
      </c>
      <c r="H1043" s="34">
        <v>45792</v>
      </c>
      <c r="I1043" s="34"/>
      <c r="J1043" s="34">
        <v>45834</v>
      </c>
      <c r="K1043" s="34" t="s">
        <v>348</v>
      </c>
      <c r="L1043" s="34" t="s">
        <v>298</v>
      </c>
      <c r="Q1043" s="42"/>
      <c r="R1043" s="42"/>
      <c r="S1043" s="42"/>
      <c r="T1043" s="36">
        <v>52000</v>
      </c>
      <c r="U1043" s="42"/>
      <c r="V1043" s="42"/>
      <c r="W1043" s="42"/>
      <c r="X1043" s="42"/>
      <c r="Y1043" s="42"/>
      <c r="Z1043" s="42"/>
      <c r="AA1043" s="43"/>
    </row>
    <row r="1044" spans="2:27" x14ac:dyDescent="0.25">
      <c r="B1044" s="5">
        <v>366</v>
      </c>
      <c r="C1044" s="34">
        <v>45812</v>
      </c>
      <c r="D1044" s="5" t="s">
        <v>380</v>
      </c>
      <c r="E1044" s="36">
        <v>4848.33</v>
      </c>
      <c r="F1044" s="36">
        <f>E1044-G1044</f>
        <v>0</v>
      </c>
      <c r="G1044" s="36">
        <v>4848.33</v>
      </c>
      <c r="H1044" s="34">
        <v>45821</v>
      </c>
      <c r="I1044" s="34"/>
      <c r="J1044" s="34">
        <v>45834</v>
      </c>
      <c r="K1044" s="34" t="s">
        <v>542</v>
      </c>
      <c r="L1044" s="34" t="s">
        <v>298</v>
      </c>
      <c r="M1044" s="34"/>
      <c r="N1044" s="39" t="s">
        <v>541</v>
      </c>
      <c r="Q1044" s="41"/>
      <c r="R1044" s="43"/>
      <c r="S1044" s="42"/>
      <c r="T1044" s="33">
        <v>4848.33</v>
      </c>
      <c r="U1044" s="35"/>
      <c r="V1044" s="35"/>
      <c r="W1044" s="35"/>
      <c r="X1044" s="35"/>
      <c r="Y1044" s="35"/>
      <c r="Z1044" s="35"/>
      <c r="AA1044" s="37"/>
    </row>
    <row r="1045" spans="2:27" x14ac:dyDescent="0.25">
      <c r="B1045" s="5">
        <v>417</v>
      </c>
      <c r="C1045" s="34">
        <v>45832</v>
      </c>
      <c r="D1045" s="5" t="s">
        <v>177</v>
      </c>
      <c r="E1045" s="36">
        <v>561.34</v>
      </c>
      <c r="F1045" s="36">
        <f>E1045-G1045</f>
        <v>0</v>
      </c>
      <c r="G1045" s="36">
        <v>561.34</v>
      </c>
      <c r="H1045" s="34">
        <v>45838</v>
      </c>
      <c r="I1045" s="34"/>
      <c r="J1045" s="34">
        <v>45834</v>
      </c>
      <c r="K1045" s="34" t="s">
        <v>534</v>
      </c>
      <c r="L1045" s="5" t="s">
        <v>303</v>
      </c>
      <c r="Q1045" s="41"/>
      <c r="R1045" s="43"/>
      <c r="S1045" s="42"/>
      <c r="T1045" s="35"/>
      <c r="U1045" s="33">
        <v>561.34</v>
      </c>
      <c r="V1045" s="35"/>
      <c r="W1045" s="35"/>
      <c r="X1045" s="35"/>
      <c r="Y1045" s="35"/>
      <c r="Z1045" s="35"/>
      <c r="AA1045" s="37"/>
    </row>
    <row r="1046" spans="2:27" x14ac:dyDescent="0.25">
      <c r="B1046" s="5">
        <v>160</v>
      </c>
      <c r="C1046" s="34">
        <v>45727</v>
      </c>
      <c r="D1046" s="5" t="s">
        <v>508</v>
      </c>
      <c r="E1046" s="36">
        <v>1200</v>
      </c>
      <c r="F1046" s="36">
        <f>E1046-G1046</f>
        <v>0</v>
      </c>
      <c r="G1046" s="36">
        <v>1200</v>
      </c>
      <c r="H1046" s="34">
        <v>45777</v>
      </c>
      <c r="I1046" s="34"/>
      <c r="J1046" s="34">
        <v>45834</v>
      </c>
      <c r="K1046" s="5" t="s">
        <v>367</v>
      </c>
      <c r="L1046" s="5" t="s">
        <v>303</v>
      </c>
      <c r="Q1046" s="41"/>
      <c r="R1046" s="43"/>
      <c r="S1046" s="42"/>
      <c r="T1046" s="33">
        <v>231</v>
      </c>
      <c r="U1046" s="44"/>
      <c r="V1046" s="40">
        <v>969</v>
      </c>
      <c r="W1046" s="35"/>
      <c r="X1046" s="35"/>
      <c r="Y1046" s="35"/>
      <c r="Z1046" s="35"/>
      <c r="AA1046" s="37"/>
    </row>
    <row r="1047" spans="2:27" x14ac:dyDescent="0.25">
      <c r="B1047" s="5">
        <v>319</v>
      </c>
      <c r="C1047" s="34">
        <v>45786</v>
      </c>
      <c r="D1047" s="5" t="s">
        <v>540</v>
      </c>
      <c r="E1047" s="36">
        <v>203.06</v>
      </c>
      <c r="F1047" s="36">
        <f>E1047-G1047</f>
        <v>0</v>
      </c>
      <c r="G1047" s="36">
        <v>203.06</v>
      </c>
      <c r="H1047" s="34">
        <v>45811</v>
      </c>
      <c r="I1047" s="34"/>
      <c r="J1047" s="34">
        <v>45834</v>
      </c>
      <c r="K1047" s="34" t="s">
        <v>373</v>
      </c>
      <c r="L1047" s="34" t="s">
        <v>298</v>
      </c>
      <c r="M1047" s="34"/>
      <c r="N1047" s="39" t="s">
        <v>539</v>
      </c>
      <c r="Q1047" s="41"/>
      <c r="R1047" s="43"/>
      <c r="S1047" s="42"/>
      <c r="T1047" s="35"/>
      <c r="U1047" s="33">
        <v>203.06</v>
      </c>
      <c r="V1047" s="35"/>
      <c r="W1047" s="35"/>
      <c r="X1047" s="35"/>
      <c r="Y1047" s="35"/>
      <c r="Z1047" s="35"/>
      <c r="AA1047" s="37"/>
    </row>
    <row r="1048" spans="2:27" x14ac:dyDescent="0.25">
      <c r="B1048" s="5">
        <v>421</v>
      </c>
      <c r="C1048" s="34">
        <v>45833</v>
      </c>
      <c r="D1048" s="5" t="s">
        <v>370</v>
      </c>
      <c r="E1048" s="33">
        <v>992.71</v>
      </c>
      <c r="F1048" s="33">
        <f>E1048-G1048</f>
        <v>0</v>
      </c>
      <c r="G1048" s="33">
        <v>992.71</v>
      </c>
      <c r="H1048" s="34">
        <v>45838</v>
      </c>
      <c r="I1048" s="34"/>
      <c r="J1048" s="34">
        <v>45838</v>
      </c>
      <c r="K1048" s="5" t="s">
        <v>431</v>
      </c>
      <c r="L1048" s="34" t="s">
        <v>298</v>
      </c>
      <c r="Q1048" s="35"/>
      <c r="R1048" s="35"/>
      <c r="S1048" s="35"/>
      <c r="T1048" s="35"/>
      <c r="U1048" s="35"/>
      <c r="V1048" s="33">
        <v>992.71</v>
      </c>
      <c r="W1048" s="35"/>
      <c r="X1048" s="35"/>
      <c r="Y1048" s="35"/>
      <c r="Z1048" s="35"/>
      <c r="AA1048" s="37"/>
    </row>
    <row r="1049" spans="2:27" x14ac:dyDescent="0.25">
      <c r="B1049" s="5">
        <v>338</v>
      </c>
      <c r="C1049" s="34">
        <v>45797</v>
      </c>
      <c r="D1049" s="5" t="s">
        <v>252</v>
      </c>
      <c r="E1049" s="36">
        <v>10239.6</v>
      </c>
      <c r="F1049" s="36">
        <f>E1049-G1049</f>
        <v>0</v>
      </c>
      <c r="G1049" s="36">
        <v>10239.6</v>
      </c>
      <c r="H1049" s="34">
        <v>45825</v>
      </c>
      <c r="I1049" s="34"/>
      <c r="J1049" s="34">
        <v>45835</v>
      </c>
      <c r="K1049" s="34" t="s">
        <v>348</v>
      </c>
      <c r="L1049" s="34" t="s">
        <v>298</v>
      </c>
      <c r="M1049" s="34"/>
      <c r="N1049" s="39" t="s">
        <v>538</v>
      </c>
      <c r="Q1049" s="41"/>
      <c r="R1049" s="43"/>
      <c r="S1049" s="42"/>
      <c r="T1049" s="35"/>
      <c r="U1049" s="35"/>
      <c r="V1049" s="35"/>
      <c r="W1049" s="40">
        <v>10239.6</v>
      </c>
      <c r="X1049" s="43"/>
      <c r="Y1049" s="42"/>
      <c r="Z1049" s="35"/>
      <c r="AA1049" s="35"/>
    </row>
    <row r="1050" spans="2:27" x14ac:dyDescent="0.25">
      <c r="B1050" s="5">
        <v>424</v>
      </c>
      <c r="C1050" s="34">
        <v>45834</v>
      </c>
      <c r="D1050" s="5" t="s">
        <v>307</v>
      </c>
      <c r="E1050" s="33">
        <v>25.94</v>
      </c>
      <c r="F1050" s="33">
        <f>E1050-G1050</f>
        <v>0</v>
      </c>
      <c r="G1050" s="33">
        <v>25.94</v>
      </c>
      <c r="H1050" s="34">
        <v>46203</v>
      </c>
      <c r="I1050" s="34"/>
      <c r="J1050" s="34">
        <v>45835</v>
      </c>
      <c r="K1050" s="5" t="s">
        <v>367</v>
      </c>
      <c r="L1050" s="5" t="s">
        <v>298</v>
      </c>
      <c r="Q1050" s="41"/>
      <c r="R1050" s="41"/>
      <c r="S1050" s="41"/>
      <c r="T1050" s="41"/>
      <c r="U1050" s="41"/>
      <c r="V1050" s="41"/>
      <c r="W1050" s="33">
        <v>25.94</v>
      </c>
      <c r="X1050" s="41"/>
      <c r="Y1050" s="41"/>
      <c r="Z1050" s="41"/>
      <c r="AA1050" s="41"/>
    </row>
    <row r="1051" spans="2:27" x14ac:dyDescent="0.25">
      <c r="B1051" s="5">
        <v>376</v>
      </c>
      <c r="C1051" s="34">
        <v>45814</v>
      </c>
      <c r="D1051" s="5" t="s">
        <v>371</v>
      </c>
      <c r="E1051" s="40">
        <v>9500</v>
      </c>
      <c r="F1051" s="33">
        <f>E1051-G1051</f>
        <v>0</v>
      </c>
      <c r="G1051" s="40">
        <v>9500</v>
      </c>
      <c r="H1051" s="34">
        <v>45835</v>
      </c>
      <c r="I1051" s="34"/>
      <c r="J1051" s="34">
        <v>45835</v>
      </c>
      <c r="K1051" s="34" t="s">
        <v>348</v>
      </c>
      <c r="L1051" s="5" t="s">
        <v>298</v>
      </c>
      <c r="Q1051" s="41"/>
      <c r="R1051" s="43"/>
      <c r="S1051" s="42"/>
      <c r="T1051" s="41"/>
      <c r="U1051" s="43"/>
      <c r="V1051" s="42"/>
      <c r="W1051" s="40">
        <v>9960</v>
      </c>
      <c r="X1051" s="41"/>
      <c r="Y1051" s="43"/>
      <c r="Z1051" s="42"/>
      <c r="AA1051" s="37"/>
    </row>
    <row r="1052" spans="2:27" x14ac:dyDescent="0.25">
      <c r="B1052" s="5">
        <v>418</v>
      </c>
      <c r="C1052" s="34">
        <v>45832</v>
      </c>
      <c r="D1052" s="5" t="s">
        <v>436</v>
      </c>
      <c r="E1052" s="36">
        <v>216</v>
      </c>
      <c r="F1052" s="36">
        <f>E1052-G1052</f>
        <v>0</v>
      </c>
      <c r="G1052" s="36">
        <v>216</v>
      </c>
      <c r="H1052" s="34">
        <v>45839</v>
      </c>
      <c r="I1052" s="34"/>
      <c r="J1052" s="34">
        <v>45835</v>
      </c>
      <c r="K1052" s="34" t="s">
        <v>424</v>
      </c>
      <c r="L1052" s="34" t="s">
        <v>298</v>
      </c>
      <c r="P1052" s="40"/>
      <c r="Q1052" s="43"/>
      <c r="R1052" s="43"/>
      <c r="S1052" s="43"/>
      <c r="T1052" s="43"/>
      <c r="U1052" s="43"/>
      <c r="V1052" s="33">
        <v>216</v>
      </c>
      <c r="W1052" s="43"/>
      <c r="X1052" s="43"/>
      <c r="Y1052" s="43"/>
      <c r="Z1052" s="43"/>
      <c r="AA1052" s="43"/>
    </row>
    <row r="1053" spans="2:27" x14ac:dyDescent="0.25">
      <c r="B1053" s="5">
        <v>403</v>
      </c>
      <c r="C1053" s="34">
        <v>45825</v>
      </c>
      <c r="D1053" s="5" t="s">
        <v>537</v>
      </c>
      <c r="E1053" s="36">
        <v>2489.6</v>
      </c>
      <c r="F1053" s="36">
        <f>E1053-G1053</f>
        <v>0</v>
      </c>
      <c r="G1053" s="36">
        <v>2489.6</v>
      </c>
      <c r="H1053" s="34">
        <v>45832</v>
      </c>
      <c r="I1053" s="34"/>
      <c r="J1053" s="34">
        <v>45835</v>
      </c>
      <c r="K1053" s="34" t="s">
        <v>330</v>
      </c>
      <c r="L1053" s="34" t="s">
        <v>298</v>
      </c>
      <c r="Q1053" s="41"/>
      <c r="R1053" s="43"/>
      <c r="S1053" s="42"/>
      <c r="T1053" s="35"/>
      <c r="U1053" s="33">
        <v>2489.6</v>
      </c>
      <c r="V1053" s="35"/>
      <c r="W1053" s="35"/>
      <c r="X1053" s="35"/>
      <c r="Y1053" s="35"/>
      <c r="Z1053" s="35"/>
      <c r="AA1053" s="37"/>
    </row>
    <row r="1054" spans="2:27" x14ac:dyDescent="0.25">
      <c r="B1054" s="5">
        <v>361</v>
      </c>
      <c r="C1054" s="34">
        <v>45811</v>
      </c>
      <c r="D1054" s="5" t="s">
        <v>470</v>
      </c>
      <c r="E1054" s="36">
        <v>2400</v>
      </c>
      <c r="F1054" s="36">
        <f>E1054-G1054</f>
        <v>0</v>
      </c>
      <c r="G1054" s="36">
        <v>2400</v>
      </c>
      <c r="H1054" s="34">
        <v>45838</v>
      </c>
      <c r="I1054" s="34"/>
      <c r="J1054" s="34">
        <v>45838</v>
      </c>
      <c r="K1054" s="34" t="s">
        <v>424</v>
      </c>
      <c r="L1054" s="34" t="s">
        <v>298</v>
      </c>
      <c r="M1054" s="34"/>
      <c r="Q1054" s="41"/>
      <c r="R1054" s="43"/>
      <c r="S1054" s="42"/>
      <c r="T1054" s="35"/>
      <c r="U1054" s="33">
        <v>2400</v>
      </c>
      <c r="V1054" s="35"/>
      <c r="W1054" s="35"/>
      <c r="X1054" s="35"/>
      <c r="Y1054" s="35"/>
      <c r="Z1054" s="35"/>
      <c r="AA1054" s="37"/>
    </row>
    <row r="1055" spans="2:27" x14ac:dyDescent="0.25">
      <c r="B1055" s="5">
        <v>397</v>
      </c>
      <c r="C1055" s="34">
        <v>45821</v>
      </c>
      <c r="D1055" s="5" t="s">
        <v>436</v>
      </c>
      <c r="E1055" s="36">
        <v>720</v>
      </c>
      <c r="F1055" s="36">
        <f>E1055-G1055</f>
        <v>0</v>
      </c>
      <c r="G1055" s="36">
        <v>720</v>
      </c>
      <c r="H1055" s="34">
        <v>45838</v>
      </c>
      <c r="I1055" s="34"/>
      <c r="J1055" s="34">
        <v>45838</v>
      </c>
      <c r="K1055" s="34" t="s">
        <v>445</v>
      </c>
      <c r="L1055" s="34" t="s">
        <v>298</v>
      </c>
      <c r="Q1055" s="41"/>
      <c r="R1055" s="43"/>
      <c r="S1055" s="42"/>
      <c r="T1055" s="35"/>
      <c r="U1055" s="35"/>
      <c r="V1055" s="33">
        <v>720</v>
      </c>
      <c r="W1055" s="34"/>
      <c r="X1055" s="35"/>
      <c r="Y1055" s="35"/>
      <c r="Z1055" s="35"/>
      <c r="AA1055" s="37"/>
    </row>
    <row r="1056" spans="2:27" x14ac:dyDescent="0.25">
      <c r="B1056" s="5">
        <v>279</v>
      </c>
      <c r="C1056" s="34">
        <v>45764</v>
      </c>
      <c r="D1056" s="5" t="s">
        <v>190</v>
      </c>
      <c r="E1056" s="36">
        <v>2964.5</v>
      </c>
      <c r="F1056" s="36">
        <f>E1056-G1056</f>
        <v>0</v>
      </c>
      <c r="G1056" s="36">
        <v>2964.5</v>
      </c>
      <c r="H1056" s="34">
        <v>45786</v>
      </c>
      <c r="I1056" s="34"/>
      <c r="J1056" s="34">
        <v>45838</v>
      </c>
      <c r="K1056" s="34" t="s">
        <v>536</v>
      </c>
      <c r="L1056" s="5" t="s">
        <v>303</v>
      </c>
      <c r="M1056" s="34"/>
      <c r="N1056" s="39" t="s">
        <v>535</v>
      </c>
      <c r="Q1056" s="41"/>
      <c r="R1056" s="43"/>
      <c r="S1056" s="42"/>
      <c r="T1056" s="33">
        <v>1915.5</v>
      </c>
      <c r="U1056" s="40">
        <v>1049</v>
      </c>
      <c r="V1056" s="35"/>
      <c r="W1056" s="35"/>
      <c r="X1056" s="35"/>
      <c r="Y1056" s="35"/>
      <c r="Z1056" s="35"/>
      <c r="AA1056" s="37"/>
    </row>
    <row r="1057" spans="2:27" x14ac:dyDescent="0.25">
      <c r="B1057" s="5">
        <v>383</v>
      </c>
      <c r="C1057" s="34">
        <v>45819</v>
      </c>
      <c r="D1057" s="5" t="s">
        <v>190</v>
      </c>
      <c r="E1057" s="36">
        <v>1108</v>
      </c>
      <c r="F1057" s="36">
        <f>E1057-G1057</f>
        <v>0</v>
      </c>
      <c r="G1057" s="36">
        <v>1108</v>
      </c>
      <c r="H1057" s="34">
        <v>45833</v>
      </c>
      <c r="I1057" s="34"/>
      <c r="J1057" s="34">
        <v>45838</v>
      </c>
      <c r="K1057" s="34" t="s">
        <v>534</v>
      </c>
      <c r="L1057" s="34" t="s">
        <v>298</v>
      </c>
      <c r="M1057" s="34"/>
      <c r="N1057" s="34" t="s">
        <v>533</v>
      </c>
      <c r="Q1057" s="41"/>
      <c r="R1057" s="43"/>
      <c r="S1057" s="42"/>
      <c r="T1057" s="35"/>
      <c r="U1057" s="33">
        <v>1108</v>
      </c>
      <c r="V1057" s="35"/>
      <c r="W1057" s="35"/>
      <c r="X1057" s="35"/>
      <c r="Y1057" s="35"/>
      <c r="Z1057" s="35"/>
      <c r="AA1057" s="37"/>
    </row>
    <row r="1058" spans="2:27" x14ac:dyDescent="0.25">
      <c r="B1058" s="5">
        <v>391</v>
      </c>
      <c r="C1058" s="34">
        <v>45821</v>
      </c>
      <c r="D1058" s="5" t="s">
        <v>404</v>
      </c>
      <c r="E1058" s="36">
        <v>6326.15</v>
      </c>
      <c r="F1058" s="36">
        <f>E1058-G1058</f>
        <v>0</v>
      </c>
      <c r="G1058" s="36">
        <v>6326.15</v>
      </c>
      <c r="H1058" s="34">
        <v>45856</v>
      </c>
      <c r="I1058" s="34"/>
      <c r="J1058" s="34">
        <v>45838</v>
      </c>
      <c r="K1058" s="34" t="s">
        <v>348</v>
      </c>
      <c r="L1058" s="34" t="s">
        <v>303</v>
      </c>
      <c r="M1058" s="5" t="s">
        <v>308</v>
      </c>
      <c r="Q1058" s="35"/>
      <c r="R1058" s="35"/>
      <c r="S1058" s="35"/>
      <c r="T1058" s="35"/>
      <c r="U1058" s="36">
        <v>6326.15</v>
      </c>
      <c r="V1058" s="35"/>
      <c r="W1058" s="35"/>
      <c r="X1058" s="35"/>
      <c r="Y1058" s="35"/>
      <c r="Z1058" s="35"/>
      <c r="AA1058" s="35"/>
    </row>
    <row r="1059" spans="2:27" x14ac:dyDescent="0.25">
      <c r="B1059" s="5">
        <v>38</v>
      </c>
      <c r="C1059" s="34">
        <v>45674</v>
      </c>
      <c r="D1059" s="5" t="s">
        <v>532</v>
      </c>
      <c r="E1059" s="36">
        <v>1500</v>
      </c>
      <c r="F1059" s="36">
        <f>E1059-G1059</f>
        <v>0</v>
      </c>
      <c r="G1059" s="36">
        <v>1500</v>
      </c>
      <c r="H1059" s="34">
        <v>45822</v>
      </c>
      <c r="I1059" s="34"/>
      <c r="J1059" s="34">
        <v>45837</v>
      </c>
      <c r="K1059" s="5" t="s">
        <v>354</v>
      </c>
      <c r="L1059" s="5" t="s">
        <v>298</v>
      </c>
      <c r="Q1059" s="35"/>
      <c r="R1059" s="35"/>
      <c r="S1059" s="35"/>
      <c r="T1059" s="35"/>
      <c r="U1059" s="40">
        <v>750</v>
      </c>
      <c r="V1059" s="35"/>
      <c r="W1059" s="35"/>
      <c r="X1059" s="35"/>
      <c r="Y1059" s="35"/>
      <c r="Z1059" s="35"/>
      <c r="AA1059" s="35"/>
    </row>
    <row r="1060" spans="2:27" x14ac:dyDescent="0.25">
      <c r="B1060" s="5">
        <v>407</v>
      </c>
      <c r="C1060" s="34">
        <v>45827</v>
      </c>
      <c r="D1060" s="5" t="s">
        <v>184</v>
      </c>
      <c r="E1060" s="36">
        <v>612</v>
      </c>
      <c r="F1060" s="36">
        <f>E1060-G1060</f>
        <v>0</v>
      </c>
      <c r="G1060" s="36">
        <v>612</v>
      </c>
      <c r="H1060" s="34">
        <v>45835</v>
      </c>
      <c r="I1060" s="34"/>
      <c r="J1060" s="34">
        <v>45839</v>
      </c>
      <c r="K1060" s="34" t="s">
        <v>348</v>
      </c>
      <c r="L1060" s="34" t="s">
        <v>298</v>
      </c>
      <c r="Q1060" s="41"/>
      <c r="R1060" s="43"/>
      <c r="S1060" s="42"/>
      <c r="T1060" s="35"/>
      <c r="U1060" s="33">
        <v>612</v>
      </c>
      <c r="V1060" s="35"/>
      <c r="W1060" s="35"/>
      <c r="X1060" s="35"/>
      <c r="Y1060" s="35"/>
      <c r="Z1060" s="35"/>
      <c r="AA1060" s="37"/>
    </row>
    <row r="1061" spans="2:27" x14ac:dyDescent="0.25">
      <c r="B1061" s="5">
        <v>333</v>
      </c>
      <c r="C1061" s="34">
        <v>45793</v>
      </c>
      <c r="D1061" s="5" t="s">
        <v>417</v>
      </c>
      <c r="E1061" s="36">
        <v>3180</v>
      </c>
      <c r="F1061" s="36">
        <f>E1061-G1061</f>
        <v>0</v>
      </c>
      <c r="G1061" s="36">
        <v>3180</v>
      </c>
      <c r="H1061" s="34">
        <v>45821</v>
      </c>
      <c r="I1061" s="34"/>
      <c r="J1061" s="34">
        <v>45839</v>
      </c>
      <c r="K1061" s="34" t="s">
        <v>531</v>
      </c>
      <c r="L1061" s="34" t="s">
        <v>298</v>
      </c>
      <c r="M1061" s="34"/>
      <c r="N1061" s="39" t="s">
        <v>520</v>
      </c>
      <c r="Q1061" s="41"/>
      <c r="R1061" s="43"/>
      <c r="S1061" s="42"/>
      <c r="T1061" s="35"/>
      <c r="U1061" s="33">
        <v>3180</v>
      </c>
      <c r="V1061" s="35"/>
      <c r="W1061" s="35"/>
      <c r="X1061" s="35"/>
      <c r="Y1061" s="35"/>
      <c r="Z1061" s="35"/>
      <c r="AA1061" s="37"/>
    </row>
    <row r="1062" spans="2:27" x14ac:dyDescent="0.25">
      <c r="B1062" s="5">
        <v>426</v>
      </c>
      <c r="C1062" s="34">
        <v>45834</v>
      </c>
      <c r="D1062" s="5" t="s">
        <v>300</v>
      </c>
      <c r="E1062" s="36">
        <v>22</v>
      </c>
      <c r="F1062" s="36">
        <f>E1062-G1062</f>
        <v>0</v>
      </c>
      <c r="G1062" s="36">
        <v>22</v>
      </c>
      <c r="H1062" s="34">
        <v>45842</v>
      </c>
      <c r="I1062" s="34"/>
      <c r="J1062" s="34">
        <v>45839</v>
      </c>
      <c r="K1062" s="34" t="s">
        <v>530</v>
      </c>
      <c r="L1062" s="34" t="s">
        <v>298</v>
      </c>
      <c r="Q1062" s="41"/>
      <c r="R1062" s="41"/>
      <c r="S1062" s="41"/>
      <c r="T1062" s="41"/>
      <c r="U1062" s="41"/>
      <c r="V1062" s="41"/>
      <c r="W1062" s="33">
        <v>22</v>
      </c>
      <c r="X1062" s="41"/>
      <c r="Y1062" s="41"/>
      <c r="Z1062" s="41"/>
      <c r="AA1062" s="41"/>
    </row>
    <row r="1063" spans="2:27" x14ac:dyDescent="0.25">
      <c r="B1063" s="5">
        <v>425</v>
      </c>
      <c r="C1063" s="34">
        <v>45834</v>
      </c>
      <c r="D1063" s="5" t="s">
        <v>300</v>
      </c>
      <c r="E1063" s="36">
        <v>20</v>
      </c>
      <c r="F1063" s="36">
        <f>E1063-G1063</f>
        <v>0</v>
      </c>
      <c r="G1063" s="36">
        <v>20</v>
      </c>
      <c r="H1063" s="34">
        <v>45842</v>
      </c>
      <c r="I1063" s="34"/>
      <c r="J1063" s="34">
        <v>45839</v>
      </c>
      <c r="K1063" s="34" t="s">
        <v>509</v>
      </c>
      <c r="L1063" s="34" t="s">
        <v>298</v>
      </c>
      <c r="M1063" s="34"/>
      <c r="N1063" s="34" t="s">
        <v>529</v>
      </c>
      <c r="Q1063" s="41"/>
      <c r="R1063" s="41"/>
      <c r="S1063" s="41"/>
      <c r="T1063" s="41"/>
      <c r="U1063" s="41"/>
      <c r="V1063" s="41"/>
      <c r="W1063" s="33">
        <v>20</v>
      </c>
      <c r="X1063" s="41"/>
      <c r="Y1063" s="41"/>
      <c r="Z1063" s="41"/>
      <c r="AA1063" s="41"/>
    </row>
    <row r="1064" spans="2:27" x14ac:dyDescent="0.25">
      <c r="B1064" s="5">
        <v>431</v>
      </c>
      <c r="C1064" s="34">
        <v>45838</v>
      </c>
      <c r="D1064" s="5" t="s">
        <v>307</v>
      </c>
      <c r="E1064" s="36">
        <v>102.37</v>
      </c>
      <c r="F1064" s="36">
        <f>E1064-G1064</f>
        <v>0</v>
      </c>
      <c r="G1064" s="36">
        <v>102.37</v>
      </c>
      <c r="H1064" s="34">
        <v>45840</v>
      </c>
      <c r="I1064" s="34"/>
      <c r="J1064" s="34">
        <v>45839</v>
      </c>
      <c r="K1064" s="34" t="s">
        <v>373</v>
      </c>
      <c r="L1064" s="34" t="s">
        <v>298</v>
      </c>
      <c r="Q1064" s="41"/>
      <c r="R1064" s="43"/>
      <c r="S1064" s="42"/>
      <c r="T1064" s="35"/>
      <c r="U1064" s="35"/>
      <c r="V1064" s="35"/>
      <c r="W1064" s="35"/>
      <c r="X1064" s="33">
        <v>102.37</v>
      </c>
      <c r="Y1064" s="35"/>
      <c r="Z1064" s="35"/>
      <c r="AA1064" s="37"/>
    </row>
    <row r="1065" spans="2:27" x14ac:dyDescent="0.25">
      <c r="B1065" s="5">
        <v>430</v>
      </c>
      <c r="C1065" s="34">
        <v>45838</v>
      </c>
      <c r="D1065" s="5" t="s">
        <v>328</v>
      </c>
      <c r="E1065" s="36">
        <v>151.96</v>
      </c>
      <c r="F1065" s="36">
        <f>E1065-G1065</f>
        <v>0</v>
      </c>
      <c r="G1065" s="36">
        <v>151.96</v>
      </c>
      <c r="H1065" s="34">
        <v>45841</v>
      </c>
      <c r="I1065" s="34"/>
      <c r="J1065" s="34">
        <v>45840</v>
      </c>
      <c r="K1065" s="34" t="s">
        <v>373</v>
      </c>
      <c r="L1065" s="34" t="s">
        <v>298</v>
      </c>
      <c r="Q1065" s="42"/>
      <c r="R1065" s="42"/>
      <c r="S1065" s="42"/>
      <c r="T1065" s="42"/>
      <c r="U1065" s="42"/>
      <c r="V1065" s="33">
        <v>151.96</v>
      </c>
      <c r="W1065" s="42"/>
      <c r="X1065" s="42"/>
      <c r="Y1065" s="42"/>
      <c r="Z1065" s="42"/>
      <c r="AA1065" s="42"/>
    </row>
    <row r="1066" spans="2:27" x14ac:dyDescent="0.25">
      <c r="B1066" s="5">
        <v>416</v>
      </c>
      <c r="C1066" s="34">
        <v>45831</v>
      </c>
      <c r="D1066" s="5" t="s">
        <v>528</v>
      </c>
      <c r="E1066" s="36">
        <v>700</v>
      </c>
      <c r="F1066" s="36">
        <f>E1066-G1066</f>
        <v>0</v>
      </c>
      <c r="G1066" s="36">
        <v>700</v>
      </c>
      <c r="H1066" s="34">
        <v>45835</v>
      </c>
      <c r="I1066" s="34"/>
      <c r="J1066" s="34">
        <v>45835</v>
      </c>
      <c r="K1066" s="34" t="s">
        <v>527</v>
      </c>
      <c r="L1066" s="34" t="s">
        <v>298</v>
      </c>
      <c r="M1066" s="34"/>
      <c r="N1066" s="45" t="s">
        <v>372</v>
      </c>
      <c r="Q1066" s="42"/>
      <c r="R1066" s="42"/>
      <c r="S1066" s="42"/>
      <c r="T1066" s="42"/>
      <c r="U1066" s="36">
        <v>700</v>
      </c>
      <c r="V1066" s="42"/>
      <c r="W1066" s="42"/>
      <c r="X1066" s="42"/>
      <c r="Y1066" s="42"/>
      <c r="Z1066" s="42"/>
      <c r="AA1066" s="42"/>
    </row>
    <row r="1067" spans="2:27" x14ac:dyDescent="0.25">
      <c r="B1067" s="5">
        <v>434</v>
      </c>
      <c r="C1067" s="34">
        <v>45839</v>
      </c>
      <c r="D1067" s="5" t="s">
        <v>307</v>
      </c>
      <c r="E1067" s="36">
        <v>9</v>
      </c>
      <c r="F1067" s="36">
        <f>E1067-G1067</f>
        <v>0</v>
      </c>
      <c r="G1067" s="36">
        <v>9</v>
      </c>
      <c r="H1067" s="34">
        <v>45840</v>
      </c>
      <c r="I1067" s="34"/>
      <c r="J1067" s="34">
        <v>45841</v>
      </c>
      <c r="K1067" s="34" t="s">
        <v>367</v>
      </c>
      <c r="L1067" s="34" t="s">
        <v>298</v>
      </c>
      <c r="Q1067" s="35"/>
      <c r="R1067" s="35"/>
      <c r="S1067" s="35"/>
      <c r="T1067" s="35"/>
      <c r="U1067" s="35"/>
      <c r="V1067" s="35"/>
      <c r="W1067" s="35"/>
      <c r="X1067" s="33">
        <v>9</v>
      </c>
      <c r="Y1067" s="35"/>
      <c r="Z1067" s="35"/>
      <c r="AA1067" s="35"/>
    </row>
    <row r="1068" spans="2:27" x14ac:dyDescent="0.25">
      <c r="B1068" s="5">
        <v>342</v>
      </c>
      <c r="C1068" s="34">
        <v>45443</v>
      </c>
      <c r="D1068" s="5" t="s">
        <v>526</v>
      </c>
      <c r="E1068" s="36">
        <f>'ORDINI EVASI (3)'!O1068*'[1]ORDINI COMMESSE E VARIE'!N2</f>
        <v>174217.5</v>
      </c>
      <c r="F1068" s="36">
        <f>E1068-G1068</f>
        <v>0</v>
      </c>
      <c r="G1068" s="36">
        <v>174217.5</v>
      </c>
      <c r="H1068" s="34">
        <v>45838</v>
      </c>
      <c r="I1068" s="34"/>
      <c r="J1068" s="34">
        <v>45841</v>
      </c>
      <c r="K1068" s="5" t="s">
        <v>525</v>
      </c>
      <c r="L1068" s="5" t="s">
        <v>303</v>
      </c>
      <c r="M1068" s="5" t="s">
        <v>308</v>
      </c>
      <c r="O1068" s="67">
        <v>200250</v>
      </c>
      <c r="Q1068" s="72"/>
      <c r="R1068" s="71"/>
      <c r="S1068" s="70"/>
      <c r="T1068" s="70"/>
      <c r="U1068" s="48">
        <v>69687</v>
      </c>
      <c r="V1068" s="69">
        <v>104530.5</v>
      </c>
      <c r="W1068" s="68"/>
      <c r="X1068" s="68"/>
      <c r="Y1068" s="68"/>
      <c r="Z1068" s="68"/>
      <c r="AA1068" s="44"/>
    </row>
    <row r="1069" spans="2:27" x14ac:dyDescent="0.25">
      <c r="B1069" s="5">
        <v>401</v>
      </c>
      <c r="C1069" s="34">
        <v>45824</v>
      </c>
      <c r="D1069" s="5" t="s">
        <v>524</v>
      </c>
      <c r="E1069" s="36">
        <v>1690.4</v>
      </c>
      <c r="F1069" s="36">
        <f>E1069-G1069</f>
        <v>0</v>
      </c>
      <c r="G1069" s="36">
        <v>1690.4</v>
      </c>
      <c r="H1069" s="34">
        <v>45838</v>
      </c>
      <c r="I1069" s="34"/>
      <c r="J1069" s="34">
        <v>45841</v>
      </c>
      <c r="K1069" s="34" t="s">
        <v>373</v>
      </c>
      <c r="L1069" s="34" t="s">
        <v>309</v>
      </c>
      <c r="Q1069" s="42"/>
      <c r="R1069" s="42"/>
      <c r="S1069" s="42"/>
      <c r="T1069" s="33">
        <v>1690.4</v>
      </c>
      <c r="U1069" s="42"/>
      <c r="V1069" s="42"/>
      <c r="W1069" s="42"/>
      <c r="X1069" s="42"/>
      <c r="Y1069" s="42"/>
      <c r="Z1069" s="42"/>
      <c r="AA1069" s="37"/>
    </row>
    <row r="1070" spans="2:27" x14ac:dyDescent="0.25">
      <c r="B1070" s="5">
        <v>432</v>
      </c>
      <c r="C1070" s="34">
        <v>45838</v>
      </c>
      <c r="D1070" s="5" t="s">
        <v>328</v>
      </c>
      <c r="E1070" s="36">
        <v>39.92</v>
      </c>
      <c r="F1070" s="36">
        <f>E1070-G1070</f>
        <v>0</v>
      </c>
      <c r="G1070" s="36">
        <v>39.92</v>
      </c>
      <c r="H1070" s="34">
        <v>45841</v>
      </c>
      <c r="I1070" s="34"/>
      <c r="J1070" s="34">
        <v>45841</v>
      </c>
      <c r="K1070" s="34" t="s">
        <v>424</v>
      </c>
      <c r="L1070" s="34" t="s">
        <v>298</v>
      </c>
      <c r="Q1070" s="35"/>
      <c r="R1070" s="35"/>
      <c r="S1070" s="35"/>
      <c r="T1070" s="35"/>
      <c r="U1070" s="35"/>
      <c r="V1070" s="33">
        <v>39.92</v>
      </c>
      <c r="W1070" s="35"/>
      <c r="X1070" s="35"/>
      <c r="Y1070" s="35"/>
      <c r="Z1070" s="35"/>
      <c r="AA1070" s="35"/>
    </row>
    <row r="1071" spans="2:27" x14ac:dyDescent="0.25">
      <c r="B1071" s="5">
        <v>442</v>
      </c>
      <c r="C1071" s="34">
        <v>45841</v>
      </c>
      <c r="D1071" s="5" t="s">
        <v>402</v>
      </c>
      <c r="E1071" s="36">
        <v>225</v>
      </c>
      <c r="F1071" s="36">
        <f>E1071-G1071</f>
        <v>0</v>
      </c>
      <c r="G1071" s="36">
        <v>225</v>
      </c>
      <c r="H1071" s="34">
        <v>45842</v>
      </c>
      <c r="I1071" s="34"/>
      <c r="J1071" s="34">
        <v>45841</v>
      </c>
      <c r="K1071" s="34" t="s">
        <v>367</v>
      </c>
      <c r="L1071" s="34" t="s">
        <v>298</v>
      </c>
      <c r="Q1071" s="35"/>
      <c r="R1071" s="35"/>
      <c r="S1071" s="35"/>
      <c r="T1071" s="35"/>
      <c r="U1071" s="35"/>
      <c r="V1071" s="35"/>
      <c r="W1071" s="33">
        <v>225</v>
      </c>
      <c r="X1071" s="35"/>
      <c r="Y1071" s="35"/>
      <c r="Z1071" s="35"/>
      <c r="AA1071" s="35"/>
    </row>
    <row r="1072" spans="2:27" x14ac:dyDescent="0.25">
      <c r="B1072" s="5">
        <v>360</v>
      </c>
      <c r="C1072" s="34">
        <v>45806</v>
      </c>
      <c r="D1072" s="5" t="s">
        <v>523</v>
      </c>
      <c r="E1072" s="36">
        <v>640</v>
      </c>
      <c r="F1072" s="36">
        <f>E1072-G1072</f>
        <v>0</v>
      </c>
      <c r="G1072" s="36">
        <v>640</v>
      </c>
      <c r="H1072" s="34">
        <v>45831</v>
      </c>
      <c r="I1072" s="34"/>
      <c r="J1072" s="34">
        <v>45842</v>
      </c>
      <c r="K1072" s="34" t="s">
        <v>424</v>
      </c>
      <c r="L1072" s="34" t="s">
        <v>298</v>
      </c>
      <c r="Q1072" s="41"/>
      <c r="R1072" s="43"/>
      <c r="S1072" s="42"/>
      <c r="T1072" s="35"/>
      <c r="U1072" s="33">
        <v>640</v>
      </c>
      <c r="V1072" s="35"/>
      <c r="W1072" s="35"/>
      <c r="X1072" s="35"/>
      <c r="Y1072" s="35"/>
      <c r="Z1072" s="35"/>
      <c r="AA1072" s="37"/>
    </row>
    <row r="1073" spans="2:27" x14ac:dyDescent="0.25">
      <c r="B1073" s="5">
        <v>63</v>
      </c>
      <c r="C1073" s="34">
        <v>45686</v>
      </c>
      <c r="D1073" s="5" t="s">
        <v>392</v>
      </c>
      <c r="E1073" s="36">
        <f>'ORDINI EVASI (3)'!O1073*'[1]ORDINI COMMESSE E VARIE'!N2</f>
        <v>62870.55</v>
      </c>
      <c r="F1073" s="36">
        <f>E1073-G1073</f>
        <v>0</v>
      </c>
      <c r="G1073" s="36">
        <v>62870.55</v>
      </c>
      <c r="H1073" s="34">
        <v>45898</v>
      </c>
      <c r="I1073" s="34"/>
      <c r="J1073" s="34">
        <v>45842</v>
      </c>
      <c r="K1073" s="5" t="s">
        <v>313</v>
      </c>
      <c r="L1073" s="5" t="s">
        <v>298</v>
      </c>
      <c r="O1073" s="67">
        <v>72265</v>
      </c>
      <c r="Q1073" s="41"/>
      <c r="R1073" s="43"/>
      <c r="S1073" s="42"/>
      <c r="T1073" s="35"/>
      <c r="U1073" s="35"/>
      <c r="V1073" s="35"/>
      <c r="W1073" s="46">
        <v>69374</v>
      </c>
      <c r="X1073" s="35"/>
      <c r="Y1073" s="35"/>
      <c r="Z1073" s="35"/>
      <c r="AA1073" s="37"/>
    </row>
    <row r="1074" spans="2:27" x14ac:dyDescent="0.25">
      <c r="B1074" s="5">
        <v>429</v>
      </c>
      <c r="C1074" s="34">
        <v>45835</v>
      </c>
      <c r="D1074" s="5" t="s">
        <v>380</v>
      </c>
      <c r="E1074" s="36">
        <v>4848.33</v>
      </c>
      <c r="F1074" s="36">
        <f>E1074-G1074</f>
        <v>0</v>
      </c>
      <c r="G1074" s="36">
        <v>4848.33</v>
      </c>
      <c r="H1074" s="34">
        <v>45845</v>
      </c>
      <c r="I1074" s="34"/>
      <c r="J1074" s="34">
        <v>45845</v>
      </c>
      <c r="K1074" s="34" t="s">
        <v>522</v>
      </c>
      <c r="L1074" s="34" t="s">
        <v>298</v>
      </c>
      <c r="M1074" s="34"/>
      <c r="N1074" s="39" t="s">
        <v>355</v>
      </c>
      <c r="Q1074" s="41"/>
      <c r="R1074" s="43"/>
      <c r="S1074" s="42"/>
      <c r="T1074" s="33">
        <v>4848.33</v>
      </c>
      <c r="U1074" s="35"/>
      <c r="V1074" s="35"/>
      <c r="W1074" s="35"/>
      <c r="X1074" s="35"/>
      <c r="Y1074" s="35"/>
      <c r="Z1074" s="35"/>
      <c r="AA1074" s="37"/>
    </row>
    <row r="1075" spans="2:27" x14ac:dyDescent="0.25">
      <c r="B1075" s="5">
        <v>701</v>
      </c>
      <c r="C1075" s="34">
        <v>45645</v>
      </c>
      <c r="D1075" s="5" t="s">
        <v>521</v>
      </c>
      <c r="E1075" s="36">
        <v>14950</v>
      </c>
      <c r="F1075" s="36">
        <f>E1075-G1075</f>
        <v>0</v>
      </c>
      <c r="G1075" s="36">
        <v>14950</v>
      </c>
      <c r="H1075" s="34">
        <v>45786</v>
      </c>
      <c r="I1075" s="34"/>
      <c r="J1075" s="34">
        <v>45845</v>
      </c>
      <c r="K1075" s="5" t="s">
        <v>313</v>
      </c>
      <c r="L1075" s="5" t="s">
        <v>303</v>
      </c>
      <c r="M1075" s="5" t="s">
        <v>308</v>
      </c>
      <c r="N1075" s="39" t="s">
        <v>520</v>
      </c>
      <c r="Q1075" s="41"/>
      <c r="R1075" s="43"/>
      <c r="S1075" s="42"/>
      <c r="T1075" s="36">
        <v>10882</v>
      </c>
      <c r="U1075" s="40">
        <v>4068</v>
      </c>
      <c r="V1075" s="35"/>
      <c r="W1075" s="35"/>
      <c r="X1075" s="35"/>
      <c r="Y1075" s="35"/>
      <c r="Z1075" s="35"/>
      <c r="AA1075" s="44"/>
    </row>
    <row r="1076" spans="2:27" x14ac:dyDescent="0.25">
      <c r="B1076" s="5">
        <v>436</v>
      </c>
      <c r="C1076" s="34">
        <v>45840</v>
      </c>
      <c r="D1076" s="5" t="s">
        <v>321</v>
      </c>
      <c r="E1076" s="36">
        <v>37.549999999999997</v>
      </c>
      <c r="F1076" s="36">
        <f>E1076-G1076</f>
        <v>0</v>
      </c>
      <c r="G1076" s="36">
        <v>37.549999999999997</v>
      </c>
      <c r="H1076" s="34">
        <v>45842</v>
      </c>
      <c r="I1076" s="34"/>
      <c r="J1076" s="34">
        <v>45845</v>
      </c>
      <c r="K1076" s="34" t="s">
        <v>424</v>
      </c>
      <c r="L1076" s="34" t="s">
        <v>309</v>
      </c>
      <c r="M1076" s="34" t="s">
        <v>308</v>
      </c>
      <c r="Q1076" s="35"/>
      <c r="R1076" s="35"/>
      <c r="S1076" s="35"/>
      <c r="T1076" s="35"/>
      <c r="U1076" s="35"/>
      <c r="V1076" s="33">
        <v>37.549999999999997</v>
      </c>
      <c r="W1076" s="35"/>
      <c r="X1076" s="35"/>
      <c r="Y1076" s="35"/>
      <c r="Z1076" s="35"/>
      <c r="AA1076" s="35"/>
    </row>
    <row r="1077" spans="2:27" x14ac:dyDescent="0.25">
      <c r="B1077" s="5">
        <v>435</v>
      </c>
      <c r="C1077" s="34">
        <v>45840</v>
      </c>
      <c r="D1077" s="5" t="s">
        <v>478</v>
      </c>
      <c r="E1077" s="36">
        <v>74.22</v>
      </c>
      <c r="F1077" s="36">
        <f>E1077-G1077</f>
        <v>0</v>
      </c>
      <c r="G1077" s="36">
        <v>74.22</v>
      </c>
      <c r="H1077" s="34">
        <v>45841</v>
      </c>
      <c r="I1077" s="34"/>
      <c r="J1077" s="34">
        <v>45845</v>
      </c>
      <c r="K1077" s="34" t="s">
        <v>424</v>
      </c>
      <c r="L1077" s="34" t="s">
        <v>298</v>
      </c>
      <c r="Q1077" s="35"/>
      <c r="R1077" s="35"/>
      <c r="S1077" s="35"/>
      <c r="T1077" s="35"/>
      <c r="U1077" s="33">
        <v>74.22</v>
      </c>
      <c r="V1077" s="35"/>
      <c r="W1077" s="35"/>
      <c r="X1077" s="35"/>
      <c r="Y1077" s="35"/>
      <c r="Z1077" s="35"/>
      <c r="AA1077" s="35"/>
    </row>
    <row r="1078" spans="2:27" x14ac:dyDescent="0.25">
      <c r="B1078" s="5">
        <v>444</v>
      </c>
      <c r="C1078" s="34">
        <v>38537</v>
      </c>
      <c r="D1078" s="5" t="s">
        <v>307</v>
      </c>
      <c r="E1078" s="36">
        <v>65.34</v>
      </c>
      <c r="F1078" s="36">
        <f>E1078-G1078</f>
        <v>0</v>
      </c>
      <c r="G1078" s="36">
        <v>65.34</v>
      </c>
      <c r="H1078" s="34">
        <v>45846</v>
      </c>
      <c r="I1078" s="34"/>
      <c r="J1078" s="34">
        <v>45845</v>
      </c>
      <c r="K1078" s="34" t="s">
        <v>424</v>
      </c>
      <c r="L1078" s="34" t="s">
        <v>309</v>
      </c>
      <c r="M1078" s="34" t="s">
        <v>308</v>
      </c>
      <c r="Q1078" s="35"/>
      <c r="R1078" s="35"/>
      <c r="S1078" s="35"/>
      <c r="T1078" s="35"/>
      <c r="U1078" s="35"/>
      <c r="V1078" s="35"/>
      <c r="W1078" s="35"/>
      <c r="X1078" s="36">
        <v>65.34</v>
      </c>
      <c r="Y1078" s="35"/>
      <c r="Z1078" s="35"/>
      <c r="AA1078" s="35"/>
    </row>
    <row r="1079" spans="2:27" x14ac:dyDescent="0.25">
      <c r="B1079" s="5">
        <v>411</v>
      </c>
      <c r="C1079" s="34">
        <v>45828</v>
      </c>
      <c r="D1079" s="5" t="s">
        <v>184</v>
      </c>
      <c r="E1079" s="36">
        <v>1034</v>
      </c>
      <c r="F1079" s="36">
        <f>E1079-G1079</f>
        <v>0</v>
      </c>
      <c r="G1079" s="36">
        <v>1034</v>
      </c>
      <c r="H1079" s="34">
        <v>45846</v>
      </c>
      <c r="I1079" s="34"/>
      <c r="J1079" s="34">
        <v>45847</v>
      </c>
      <c r="K1079" s="34" t="s">
        <v>519</v>
      </c>
      <c r="L1079" s="34" t="s">
        <v>298</v>
      </c>
      <c r="Q1079" s="41"/>
      <c r="R1079" s="43"/>
      <c r="S1079" s="42"/>
      <c r="T1079" s="35"/>
      <c r="U1079" s="33">
        <v>1034</v>
      </c>
      <c r="V1079" s="35"/>
      <c r="W1079" s="35"/>
      <c r="X1079" s="35"/>
      <c r="Y1079" s="35"/>
      <c r="Z1079" s="35"/>
      <c r="AA1079" s="37"/>
    </row>
    <row r="1080" spans="2:27" x14ac:dyDescent="0.25">
      <c r="B1080" s="5">
        <v>143</v>
      </c>
      <c r="C1080" s="34">
        <v>45721</v>
      </c>
      <c r="D1080" s="5" t="s">
        <v>518</v>
      </c>
      <c r="E1080" s="36">
        <v>6187.2</v>
      </c>
      <c r="F1080" s="36">
        <f>E1080-G1080</f>
        <v>0</v>
      </c>
      <c r="G1080" s="36">
        <v>6187.2</v>
      </c>
      <c r="H1080" s="34">
        <v>45762</v>
      </c>
      <c r="I1080" s="34"/>
      <c r="J1080" s="34">
        <v>45848</v>
      </c>
      <c r="K1080" s="5" t="s">
        <v>313</v>
      </c>
      <c r="L1080" s="5" t="s">
        <v>309</v>
      </c>
      <c r="M1080" s="5" t="s">
        <v>350</v>
      </c>
      <c r="N1080" s="45" t="s">
        <v>517</v>
      </c>
      <c r="Q1080" s="41"/>
      <c r="R1080" s="43"/>
      <c r="S1080" s="66"/>
      <c r="T1080" s="35"/>
      <c r="U1080" s="35"/>
      <c r="V1080" s="33">
        <v>6187.2</v>
      </c>
      <c r="W1080" s="35"/>
      <c r="X1080" s="35"/>
      <c r="Y1080" s="35"/>
      <c r="Z1080" s="35"/>
      <c r="AA1080" s="37"/>
    </row>
    <row r="1081" spans="2:27" x14ac:dyDescent="0.25">
      <c r="B1081" s="5">
        <v>447</v>
      </c>
      <c r="C1081" s="34">
        <v>45847</v>
      </c>
      <c r="D1081" s="5" t="s">
        <v>491</v>
      </c>
      <c r="E1081" s="36">
        <v>20.5</v>
      </c>
      <c r="F1081" s="36">
        <f>E1081-G1081</f>
        <v>0</v>
      </c>
      <c r="G1081" s="36">
        <v>20.5</v>
      </c>
      <c r="H1081" s="34">
        <v>45848</v>
      </c>
      <c r="I1081" s="34"/>
      <c r="J1081" s="34">
        <v>45848</v>
      </c>
      <c r="K1081" s="34" t="s">
        <v>445</v>
      </c>
      <c r="L1081" s="34" t="s">
        <v>298</v>
      </c>
      <c r="Q1081" s="35"/>
      <c r="R1081" s="35"/>
      <c r="S1081" s="35"/>
      <c r="T1081" s="35"/>
      <c r="U1081" s="35"/>
      <c r="V1081" s="33">
        <v>20.5</v>
      </c>
      <c r="W1081" s="35"/>
      <c r="X1081" s="35"/>
      <c r="Y1081" s="35"/>
      <c r="Z1081" s="35"/>
      <c r="AA1081" s="35"/>
    </row>
    <row r="1082" spans="2:27" x14ac:dyDescent="0.25">
      <c r="B1082" s="5">
        <v>449</v>
      </c>
      <c r="C1082" s="34">
        <v>45847</v>
      </c>
      <c r="D1082" s="5" t="s">
        <v>491</v>
      </c>
      <c r="E1082" s="36">
        <v>32.15</v>
      </c>
      <c r="F1082" s="36">
        <f>E1082-G1082</f>
        <v>0</v>
      </c>
      <c r="G1082" s="36">
        <v>32.15</v>
      </c>
      <c r="H1082" s="34">
        <v>45848</v>
      </c>
      <c r="I1082" s="34"/>
      <c r="J1082" s="34">
        <v>45848</v>
      </c>
      <c r="K1082" s="34" t="s">
        <v>424</v>
      </c>
      <c r="L1082" s="34" t="s">
        <v>298</v>
      </c>
      <c r="Q1082" s="35"/>
      <c r="R1082" s="35"/>
      <c r="S1082" s="35"/>
      <c r="T1082" s="35"/>
      <c r="U1082" s="35"/>
      <c r="V1082" s="33">
        <v>32.15</v>
      </c>
      <c r="W1082" s="35"/>
      <c r="X1082" s="35"/>
      <c r="Y1082" s="35"/>
      <c r="Z1082" s="35"/>
      <c r="AA1082" s="35"/>
    </row>
    <row r="1083" spans="2:27" x14ac:dyDescent="0.25">
      <c r="B1083" s="5">
        <v>369</v>
      </c>
      <c r="C1083" s="34">
        <v>45812</v>
      </c>
      <c r="D1083" s="5" t="s">
        <v>436</v>
      </c>
      <c r="E1083" s="36">
        <v>310</v>
      </c>
      <c r="F1083" s="36">
        <f>E1083-G1083</f>
        <v>0</v>
      </c>
      <c r="G1083" s="36">
        <v>310</v>
      </c>
      <c r="H1083" s="34">
        <v>45821</v>
      </c>
      <c r="I1083" s="34"/>
      <c r="J1083" s="34">
        <v>45818</v>
      </c>
      <c r="K1083" s="34" t="s">
        <v>424</v>
      </c>
      <c r="L1083" s="5" t="s">
        <v>303</v>
      </c>
      <c r="Q1083" s="41"/>
      <c r="R1083" s="43"/>
      <c r="S1083" s="42"/>
      <c r="T1083" s="35"/>
      <c r="U1083" s="35"/>
      <c r="V1083" s="33">
        <v>310</v>
      </c>
      <c r="W1083" s="35"/>
      <c r="X1083" s="35"/>
      <c r="Y1083" s="35"/>
      <c r="Z1083" s="35"/>
      <c r="AA1083" s="37"/>
    </row>
    <row r="1084" spans="2:27" x14ac:dyDescent="0.25">
      <c r="B1084" s="5">
        <v>381</v>
      </c>
      <c r="C1084" s="34">
        <v>45818</v>
      </c>
      <c r="D1084" s="5" t="s">
        <v>516</v>
      </c>
      <c r="E1084" s="36">
        <v>160</v>
      </c>
      <c r="F1084" s="36">
        <f>E1084-G1084</f>
        <v>0</v>
      </c>
      <c r="G1084" s="36">
        <v>160</v>
      </c>
      <c r="H1084" s="34">
        <v>45828</v>
      </c>
      <c r="I1084" s="34"/>
      <c r="J1084" s="34">
        <v>45848</v>
      </c>
      <c r="K1084" s="34" t="s">
        <v>367</v>
      </c>
      <c r="L1084" s="34" t="s">
        <v>298</v>
      </c>
      <c r="M1084" s="34"/>
      <c r="N1084" s="39" t="s">
        <v>515</v>
      </c>
      <c r="Q1084" s="35"/>
      <c r="R1084" s="35"/>
      <c r="S1084" s="35"/>
      <c r="T1084" s="35"/>
      <c r="U1084" s="35"/>
      <c r="V1084" s="35"/>
      <c r="W1084" s="33">
        <v>160</v>
      </c>
      <c r="X1084" s="35"/>
      <c r="Y1084" s="35"/>
      <c r="Z1084" s="35"/>
      <c r="AA1084" s="37"/>
    </row>
    <row r="1085" spans="2:27" x14ac:dyDescent="0.25">
      <c r="B1085" s="5">
        <v>314</v>
      </c>
      <c r="C1085" s="34">
        <v>45798</v>
      </c>
      <c r="D1085" s="5" t="s">
        <v>314</v>
      </c>
      <c r="E1085" s="36">
        <v>224.07</v>
      </c>
      <c r="F1085" s="36">
        <f>E1085-G1085</f>
        <v>0</v>
      </c>
      <c r="G1085" s="36">
        <v>224.07</v>
      </c>
      <c r="H1085" s="34">
        <v>45824</v>
      </c>
      <c r="I1085" s="34"/>
      <c r="J1085" s="34">
        <v>45849</v>
      </c>
      <c r="K1085" s="34" t="s">
        <v>424</v>
      </c>
      <c r="L1085" s="34" t="s">
        <v>298</v>
      </c>
      <c r="M1085" s="34"/>
      <c r="N1085" s="39" t="s">
        <v>514</v>
      </c>
      <c r="Q1085" s="41"/>
      <c r="R1085" s="41"/>
      <c r="S1085" s="41"/>
      <c r="T1085" s="35"/>
      <c r="U1085" s="35"/>
      <c r="V1085" s="36">
        <v>224.07</v>
      </c>
      <c r="W1085" s="41"/>
      <c r="X1085" s="41"/>
      <c r="Y1085" s="41"/>
      <c r="Z1085" s="41"/>
      <c r="AA1085" s="37"/>
    </row>
    <row r="1086" spans="2:27" x14ac:dyDescent="0.25">
      <c r="B1086" s="5">
        <v>445</v>
      </c>
      <c r="C1086" s="34">
        <v>45845</v>
      </c>
      <c r="D1086" s="5" t="s">
        <v>300</v>
      </c>
      <c r="E1086" s="36">
        <v>17.5</v>
      </c>
      <c r="F1086" s="36">
        <f>E1086-G1086</f>
        <v>0</v>
      </c>
      <c r="G1086" s="36">
        <v>17.5</v>
      </c>
      <c r="H1086" s="34">
        <v>45853</v>
      </c>
      <c r="I1086" s="34"/>
      <c r="J1086" s="34">
        <v>45849</v>
      </c>
      <c r="K1086" s="34" t="s">
        <v>509</v>
      </c>
      <c r="L1086" s="34" t="s">
        <v>298</v>
      </c>
      <c r="M1086" s="34"/>
      <c r="Q1086" s="35"/>
      <c r="R1086" s="35"/>
      <c r="S1086" s="35"/>
      <c r="T1086" s="35"/>
      <c r="U1086" s="35"/>
      <c r="V1086" s="35"/>
      <c r="W1086" s="33">
        <v>17.5</v>
      </c>
      <c r="X1086" s="35"/>
      <c r="Y1086" s="35"/>
      <c r="Z1086" s="35"/>
      <c r="AA1086" s="35"/>
    </row>
    <row r="1087" spans="2:27" x14ac:dyDescent="0.25">
      <c r="B1087" s="5">
        <v>109</v>
      </c>
      <c r="C1087" s="34">
        <v>45705</v>
      </c>
      <c r="D1087" s="5" t="s">
        <v>417</v>
      </c>
      <c r="E1087" s="36">
        <v>10372.5</v>
      </c>
      <c r="F1087" s="36">
        <f>E1087-G1087</f>
        <v>0</v>
      </c>
      <c r="G1087" s="36">
        <v>10372.5</v>
      </c>
      <c r="H1087" s="34">
        <v>45808</v>
      </c>
      <c r="I1087" s="34"/>
      <c r="J1087" s="34">
        <v>45833</v>
      </c>
      <c r="K1087" s="5" t="s">
        <v>354</v>
      </c>
      <c r="L1087" s="5" t="s">
        <v>298</v>
      </c>
      <c r="N1087" s="45" t="s">
        <v>372</v>
      </c>
      <c r="Q1087" s="41"/>
      <c r="R1087" s="43"/>
      <c r="S1087" s="42"/>
      <c r="T1087" s="35"/>
      <c r="U1087" s="36">
        <v>10372.5</v>
      </c>
      <c r="V1087" s="35"/>
      <c r="W1087" s="35"/>
      <c r="X1087" s="35"/>
      <c r="Y1087" s="35"/>
      <c r="Z1087" s="35"/>
      <c r="AA1087" s="37"/>
    </row>
    <row r="1088" spans="2:27" x14ac:dyDescent="0.25">
      <c r="B1088" s="5">
        <v>308</v>
      </c>
      <c r="C1088" s="34">
        <v>45783</v>
      </c>
      <c r="D1088" s="5" t="s">
        <v>473</v>
      </c>
      <c r="E1088" s="36">
        <v>1600</v>
      </c>
      <c r="F1088" s="36">
        <f>E1088-G1088</f>
        <v>0</v>
      </c>
      <c r="G1088" s="36">
        <v>1600</v>
      </c>
      <c r="H1088" s="34">
        <v>45838</v>
      </c>
      <c r="I1088" s="34"/>
      <c r="J1088" s="34">
        <v>45838</v>
      </c>
      <c r="K1088" s="34" t="s">
        <v>472</v>
      </c>
      <c r="L1088" s="34" t="s">
        <v>298</v>
      </c>
      <c r="M1088" s="34"/>
      <c r="N1088" s="39" t="s">
        <v>409</v>
      </c>
      <c r="Q1088" s="41"/>
      <c r="R1088" s="43"/>
      <c r="S1088" s="42"/>
      <c r="T1088" s="49">
        <v>800</v>
      </c>
      <c r="U1088" s="49">
        <v>800</v>
      </c>
      <c r="V1088" s="35"/>
      <c r="W1088" s="35"/>
      <c r="X1088" s="35"/>
      <c r="Y1088" s="35"/>
      <c r="Z1088" s="35"/>
      <c r="AA1088" s="37"/>
    </row>
    <row r="1089" spans="2:27" x14ac:dyDescent="0.25">
      <c r="B1089" s="5">
        <v>276</v>
      </c>
      <c r="C1089" s="34">
        <v>45763</v>
      </c>
      <c r="D1089" s="5" t="s">
        <v>23</v>
      </c>
      <c r="E1089" s="36">
        <v>5652</v>
      </c>
      <c r="F1089" s="36">
        <f>E1089-G1089</f>
        <v>0</v>
      </c>
      <c r="G1089" s="36">
        <v>5652</v>
      </c>
      <c r="H1089" s="34">
        <v>45777</v>
      </c>
      <c r="I1089" s="34"/>
      <c r="J1089" s="34">
        <v>45852</v>
      </c>
      <c r="K1089" s="34" t="s">
        <v>313</v>
      </c>
      <c r="L1089" s="5" t="s">
        <v>303</v>
      </c>
      <c r="M1089" s="5" t="s">
        <v>308</v>
      </c>
      <c r="N1089" s="53" t="s">
        <v>504</v>
      </c>
      <c r="Q1089" s="41"/>
      <c r="R1089" s="43"/>
      <c r="S1089" s="36">
        <v>5595</v>
      </c>
      <c r="T1089" s="35"/>
      <c r="U1089" s="40">
        <v>182.62</v>
      </c>
      <c r="V1089" s="40">
        <v>57</v>
      </c>
      <c r="W1089" s="35"/>
      <c r="X1089" s="35"/>
      <c r="Y1089" s="35"/>
      <c r="Z1089" s="35"/>
      <c r="AA1089" s="37"/>
    </row>
    <row r="1090" spans="2:27" x14ac:dyDescent="0.25">
      <c r="B1090" s="5">
        <v>386</v>
      </c>
      <c r="C1090" s="34">
        <v>45819</v>
      </c>
      <c r="D1090" s="5" t="s">
        <v>470</v>
      </c>
      <c r="E1090" s="36">
        <v>4550</v>
      </c>
      <c r="F1090" s="36">
        <f>E1090-G1090</f>
        <v>0</v>
      </c>
      <c r="G1090" s="36">
        <v>4550</v>
      </c>
      <c r="H1090" s="34">
        <v>45842</v>
      </c>
      <c r="I1090" s="34"/>
      <c r="J1090" s="34">
        <v>45854</v>
      </c>
      <c r="K1090" s="34" t="s">
        <v>469</v>
      </c>
      <c r="L1090" s="34" t="s">
        <v>298</v>
      </c>
      <c r="M1090" s="34"/>
      <c r="N1090" s="39" t="s">
        <v>513</v>
      </c>
      <c r="Q1090" s="41"/>
      <c r="R1090" s="43"/>
      <c r="S1090" s="42"/>
      <c r="T1090" s="35"/>
      <c r="U1090" s="33">
        <v>4550</v>
      </c>
      <c r="V1090" s="35"/>
      <c r="W1090" s="35"/>
      <c r="X1090" s="35"/>
      <c r="Y1090" s="35"/>
      <c r="Z1090" s="35"/>
      <c r="AA1090" s="37"/>
    </row>
    <row r="1091" spans="2:27" x14ac:dyDescent="0.25">
      <c r="B1091" s="5">
        <v>438</v>
      </c>
      <c r="C1091" s="34">
        <v>45840</v>
      </c>
      <c r="D1091" s="5" t="s">
        <v>331</v>
      </c>
      <c r="E1091" s="36">
        <v>1653.1</v>
      </c>
      <c r="F1091" s="36">
        <f>E1091-G1091</f>
        <v>0</v>
      </c>
      <c r="G1091" s="36">
        <v>1653.1</v>
      </c>
      <c r="H1091" s="34">
        <v>45846</v>
      </c>
      <c r="I1091" s="34"/>
      <c r="J1091" s="34">
        <v>45852</v>
      </c>
      <c r="K1091" s="34" t="s">
        <v>494</v>
      </c>
      <c r="L1091" s="34" t="s">
        <v>303</v>
      </c>
      <c r="M1091" s="34"/>
      <c r="Q1091" s="35"/>
      <c r="R1091" s="35"/>
      <c r="S1091" s="35"/>
      <c r="T1091" s="35"/>
      <c r="U1091" s="35"/>
      <c r="V1091" s="33">
        <v>1653.1</v>
      </c>
      <c r="W1091" s="35"/>
      <c r="X1091" s="35"/>
      <c r="Y1091" s="35"/>
      <c r="Z1091" s="35"/>
      <c r="AA1091" s="35"/>
    </row>
    <row r="1092" spans="2:27" x14ac:dyDescent="0.25">
      <c r="B1092" s="5">
        <v>460</v>
      </c>
      <c r="C1092" s="34">
        <v>45854</v>
      </c>
      <c r="D1092" s="5" t="s">
        <v>491</v>
      </c>
      <c r="E1092" s="36">
        <v>10.45</v>
      </c>
      <c r="F1092" s="36">
        <f>E1092-G1092</f>
        <v>0</v>
      </c>
      <c r="G1092" s="36">
        <v>10.45</v>
      </c>
      <c r="H1092" s="34">
        <v>45855</v>
      </c>
      <c r="I1092" s="34"/>
      <c r="J1092" s="34">
        <v>45854</v>
      </c>
      <c r="K1092" s="34" t="s">
        <v>424</v>
      </c>
      <c r="L1092" s="34" t="s">
        <v>298</v>
      </c>
      <c r="Q1092" s="35"/>
      <c r="R1092" s="35"/>
      <c r="S1092" s="35"/>
      <c r="T1092" s="35"/>
      <c r="U1092" s="35"/>
      <c r="V1092" s="33">
        <v>10.45</v>
      </c>
      <c r="W1092" s="35"/>
      <c r="X1092" s="35"/>
      <c r="Y1092" s="35"/>
      <c r="Z1092" s="35"/>
      <c r="AA1092" s="35"/>
    </row>
    <row r="1093" spans="2:27" x14ac:dyDescent="0.25">
      <c r="B1093" s="5">
        <v>453</v>
      </c>
      <c r="C1093" s="34">
        <v>45853</v>
      </c>
      <c r="D1093" s="5" t="s">
        <v>512</v>
      </c>
      <c r="E1093" s="36">
        <v>724.3</v>
      </c>
      <c r="F1093" s="36">
        <f>E1093-G1093</f>
        <v>0</v>
      </c>
      <c r="G1093" s="36">
        <v>724.3</v>
      </c>
      <c r="H1093" s="34">
        <v>45856</v>
      </c>
      <c r="I1093" s="34"/>
      <c r="J1093" s="34">
        <v>45854</v>
      </c>
      <c r="K1093" s="34" t="s">
        <v>457</v>
      </c>
      <c r="L1093" s="34" t="s">
        <v>298</v>
      </c>
      <c r="N1093" s="45" t="s">
        <v>355</v>
      </c>
      <c r="Q1093" s="35"/>
      <c r="R1093" s="35"/>
      <c r="S1093" s="35"/>
      <c r="T1093" s="35"/>
      <c r="U1093" s="36">
        <v>724.3</v>
      </c>
      <c r="V1093" s="35"/>
      <c r="W1093" s="35"/>
      <c r="X1093" s="35"/>
      <c r="Y1093" s="35"/>
      <c r="Z1093" s="35"/>
      <c r="AA1093" s="35"/>
    </row>
    <row r="1094" spans="2:27" x14ac:dyDescent="0.25">
      <c r="B1094" s="5">
        <v>380</v>
      </c>
      <c r="C1094" s="34">
        <v>45817</v>
      </c>
      <c r="D1094" s="5" t="s">
        <v>510</v>
      </c>
      <c r="E1094" s="36">
        <v>1600</v>
      </c>
      <c r="F1094" s="36">
        <f>E1094-G1094</f>
        <v>0</v>
      </c>
      <c r="G1094" s="36">
        <v>1600</v>
      </c>
      <c r="H1094" s="34">
        <v>45828</v>
      </c>
      <c r="I1094" s="34"/>
      <c r="J1094" s="34">
        <v>45855</v>
      </c>
      <c r="K1094" s="34" t="s">
        <v>342</v>
      </c>
      <c r="L1094" s="34" t="s">
        <v>298</v>
      </c>
      <c r="M1094" s="34"/>
      <c r="N1094" s="45" t="s">
        <v>372</v>
      </c>
      <c r="Q1094" s="35"/>
      <c r="R1094" s="35"/>
      <c r="S1094" s="35"/>
      <c r="T1094" s="35"/>
      <c r="U1094" s="35"/>
      <c r="V1094" s="36">
        <v>1600</v>
      </c>
      <c r="W1094" s="35"/>
      <c r="X1094" s="35"/>
      <c r="Y1094" s="35"/>
      <c r="Z1094" s="35"/>
      <c r="AA1094" s="35"/>
    </row>
    <row r="1095" spans="2:27" x14ac:dyDescent="0.25">
      <c r="B1095" s="5">
        <v>409</v>
      </c>
      <c r="C1095" s="34">
        <v>45828</v>
      </c>
      <c r="D1095" s="5" t="s">
        <v>510</v>
      </c>
      <c r="E1095" s="36">
        <v>1600</v>
      </c>
      <c r="F1095" s="36">
        <f>E1095-G1095</f>
        <v>0</v>
      </c>
      <c r="G1095" s="36">
        <v>1600</v>
      </c>
      <c r="H1095" s="34">
        <v>45835</v>
      </c>
      <c r="I1095" s="34"/>
      <c r="J1095" s="34">
        <v>45855</v>
      </c>
      <c r="K1095" s="34" t="s">
        <v>511</v>
      </c>
      <c r="L1095" s="34" t="s">
        <v>298</v>
      </c>
      <c r="M1095" s="34"/>
      <c r="N1095" s="45" t="s">
        <v>372</v>
      </c>
      <c r="Q1095" s="35"/>
      <c r="R1095" s="35"/>
      <c r="S1095" s="35"/>
      <c r="T1095" s="35"/>
      <c r="U1095" s="35"/>
      <c r="V1095" s="36">
        <v>1600</v>
      </c>
      <c r="W1095" s="35"/>
      <c r="X1095" s="35"/>
      <c r="Y1095" s="35"/>
      <c r="Z1095" s="35"/>
      <c r="AA1095" s="35"/>
    </row>
    <row r="1096" spans="2:27" x14ac:dyDescent="0.25">
      <c r="B1096" s="5">
        <v>422</v>
      </c>
      <c r="C1096" s="34">
        <v>45833</v>
      </c>
      <c r="D1096" s="5" t="s">
        <v>510</v>
      </c>
      <c r="E1096" s="36">
        <v>800</v>
      </c>
      <c r="F1096" s="36">
        <f>E1096-G1096</f>
        <v>0</v>
      </c>
      <c r="G1096" s="36">
        <v>800</v>
      </c>
      <c r="H1096" s="34">
        <v>45856</v>
      </c>
      <c r="I1096" s="34"/>
      <c r="J1096" s="34">
        <v>45869</v>
      </c>
      <c r="K1096" s="34" t="s">
        <v>342</v>
      </c>
      <c r="L1096" s="34" t="s">
        <v>298</v>
      </c>
      <c r="Q1096" s="41"/>
      <c r="R1096" s="43"/>
      <c r="S1096" s="42"/>
      <c r="T1096" s="35"/>
      <c r="U1096" s="35"/>
      <c r="V1096" s="33">
        <v>800</v>
      </c>
      <c r="W1096" s="35"/>
      <c r="X1096" s="35"/>
      <c r="Y1096" s="35"/>
      <c r="Z1096" s="35"/>
      <c r="AA1096" s="37"/>
    </row>
    <row r="1097" spans="2:27" x14ac:dyDescent="0.25">
      <c r="B1097" s="5">
        <v>439</v>
      </c>
      <c r="C1097" s="34">
        <v>45840</v>
      </c>
      <c r="D1097" s="5" t="s">
        <v>508</v>
      </c>
      <c r="E1097" s="36">
        <v>45</v>
      </c>
      <c r="F1097" s="36">
        <f>E1097-G1097</f>
        <v>0</v>
      </c>
      <c r="G1097" s="36">
        <v>45</v>
      </c>
      <c r="H1097" s="34">
        <v>45847</v>
      </c>
      <c r="I1097" s="34"/>
      <c r="J1097" s="34">
        <v>45854</v>
      </c>
      <c r="K1097" s="5" t="s">
        <v>509</v>
      </c>
      <c r="L1097" s="34" t="s">
        <v>309</v>
      </c>
      <c r="M1097" s="34" t="s">
        <v>308</v>
      </c>
      <c r="N1097" s="45" t="s">
        <v>502</v>
      </c>
      <c r="Q1097" s="35"/>
      <c r="R1097" s="35"/>
      <c r="S1097" s="35"/>
      <c r="T1097" s="35"/>
      <c r="U1097" s="35"/>
      <c r="V1097" s="35"/>
      <c r="W1097" s="33">
        <v>45</v>
      </c>
      <c r="X1097" s="35"/>
      <c r="Y1097" s="35"/>
      <c r="Z1097" s="35"/>
      <c r="AA1097" s="35"/>
    </row>
    <row r="1098" spans="2:27" x14ac:dyDescent="0.25">
      <c r="B1098" s="5">
        <v>440</v>
      </c>
      <c r="C1098" s="34">
        <v>45840</v>
      </c>
      <c r="D1098" s="5" t="s">
        <v>508</v>
      </c>
      <c r="E1098" s="36">
        <v>45</v>
      </c>
      <c r="F1098" s="36">
        <f>E1098-G1098</f>
        <v>0</v>
      </c>
      <c r="G1098" s="36">
        <v>45</v>
      </c>
      <c r="H1098" s="34">
        <v>45847</v>
      </c>
      <c r="I1098" s="34"/>
      <c r="J1098" s="34">
        <v>45854</v>
      </c>
      <c r="K1098" s="34" t="s">
        <v>424</v>
      </c>
      <c r="L1098" s="34" t="s">
        <v>309</v>
      </c>
      <c r="M1098" s="34" t="s">
        <v>308</v>
      </c>
      <c r="N1098" s="45" t="s">
        <v>502</v>
      </c>
      <c r="Q1098" s="35"/>
      <c r="R1098" s="35"/>
      <c r="S1098" s="35"/>
      <c r="T1098" s="35"/>
      <c r="U1098" s="35"/>
      <c r="V1098" s="35"/>
      <c r="W1098" s="33">
        <v>45</v>
      </c>
      <c r="X1098" s="35"/>
      <c r="Y1098" s="35"/>
      <c r="Z1098" s="35"/>
      <c r="AA1098" s="35"/>
    </row>
    <row r="1099" spans="2:27" x14ac:dyDescent="0.25">
      <c r="B1099" s="5">
        <v>249</v>
      </c>
      <c r="C1099" s="34">
        <v>45756</v>
      </c>
      <c r="D1099" s="5" t="s">
        <v>408</v>
      </c>
      <c r="E1099" s="36">
        <v>199500</v>
      </c>
      <c r="F1099" s="36">
        <f>E1099-G1099</f>
        <v>0</v>
      </c>
      <c r="G1099" s="36">
        <v>199500</v>
      </c>
      <c r="H1099" s="34">
        <v>45853</v>
      </c>
      <c r="I1099" s="34"/>
      <c r="J1099" s="34">
        <v>45859</v>
      </c>
      <c r="K1099" s="34" t="s">
        <v>348</v>
      </c>
      <c r="L1099" s="34" t="s">
        <v>309</v>
      </c>
      <c r="M1099" s="34" t="s">
        <v>308</v>
      </c>
      <c r="N1099" s="34"/>
      <c r="Q1099" s="35"/>
      <c r="R1099" s="35"/>
      <c r="S1099" s="35"/>
      <c r="T1099" s="35"/>
      <c r="U1099" s="35"/>
      <c r="V1099" s="40">
        <v>59850</v>
      </c>
      <c r="W1099" s="35"/>
      <c r="X1099" s="35"/>
      <c r="Y1099" s="35"/>
      <c r="Z1099" s="35"/>
      <c r="AA1099" s="35"/>
    </row>
    <row r="1100" spans="2:27" x14ac:dyDescent="0.25">
      <c r="B1100" s="5">
        <v>459</v>
      </c>
      <c r="C1100" s="34">
        <v>45853</v>
      </c>
      <c r="D1100" s="5" t="s">
        <v>307</v>
      </c>
      <c r="E1100" s="36">
        <v>8.24</v>
      </c>
      <c r="F1100" s="36">
        <f>E1100-G1100</f>
        <v>0</v>
      </c>
      <c r="G1100" s="36">
        <v>8.24</v>
      </c>
      <c r="H1100" s="34">
        <v>45854</v>
      </c>
      <c r="I1100" s="34"/>
      <c r="J1100" s="34">
        <v>45859</v>
      </c>
      <c r="K1100" s="34" t="s">
        <v>367</v>
      </c>
      <c r="L1100" s="34" t="s">
        <v>298</v>
      </c>
      <c r="Q1100" s="35"/>
      <c r="R1100" s="35"/>
      <c r="S1100" s="35"/>
      <c r="T1100" s="35"/>
      <c r="U1100" s="35"/>
      <c r="V1100" s="35"/>
      <c r="W1100" s="35"/>
      <c r="X1100" s="33">
        <v>8.24</v>
      </c>
      <c r="Y1100" s="35"/>
      <c r="Z1100" s="35"/>
      <c r="AA1100" s="35"/>
    </row>
    <row r="1101" spans="2:27" x14ac:dyDescent="0.25">
      <c r="B1101" s="5">
        <v>455</v>
      </c>
      <c r="C1101" s="34">
        <v>45853</v>
      </c>
      <c r="D1101" s="5" t="s">
        <v>307</v>
      </c>
      <c r="E1101" s="36">
        <v>22.28</v>
      </c>
      <c r="F1101" s="36">
        <f>E1101-G1101</f>
        <v>0</v>
      </c>
      <c r="G1101" s="36">
        <v>22.28</v>
      </c>
      <c r="H1101" s="34">
        <v>45854</v>
      </c>
      <c r="I1101" s="34"/>
      <c r="J1101" s="34">
        <v>45859</v>
      </c>
      <c r="K1101" s="5" t="s">
        <v>505</v>
      </c>
      <c r="L1101" s="34" t="s">
        <v>298</v>
      </c>
      <c r="Q1101" s="35"/>
      <c r="R1101" s="35"/>
      <c r="S1101" s="35"/>
      <c r="T1101" s="35"/>
      <c r="U1101" s="35"/>
      <c r="V1101" s="35"/>
      <c r="W1101" s="35"/>
      <c r="X1101" s="33">
        <v>22.28</v>
      </c>
      <c r="Y1101" s="35"/>
      <c r="Z1101" s="35"/>
      <c r="AA1101" s="35"/>
    </row>
    <row r="1102" spans="2:27" x14ac:dyDescent="0.25">
      <c r="B1102" s="5">
        <v>452</v>
      </c>
      <c r="C1102" s="34">
        <v>45849</v>
      </c>
      <c r="D1102" s="5" t="s">
        <v>300</v>
      </c>
      <c r="E1102" s="36">
        <v>72</v>
      </c>
      <c r="F1102" s="36">
        <f>E1102-G1102</f>
        <v>0</v>
      </c>
      <c r="G1102" s="36">
        <v>72</v>
      </c>
      <c r="H1102" s="34">
        <v>45856</v>
      </c>
      <c r="I1102" s="34"/>
      <c r="J1102" s="34">
        <v>45859</v>
      </c>
      <c r="K1102" s="34" t="s">
        <v>424</v>
      </c>
      <c r="L1102" s="34" t="s">
        <v>298</v>
      </c>
      <c r="M1102" s="34"/>
      <c r="N1102" s="34"/>
      <c r="O1102" s="34"/>
      <c r="P1102" s="34"/>
      <c r="Q1102" s="35"/>
      <c r="R1102" s="35"/>
      <c r="S1102" s="35"/>
      <c r="T1102" s="35"/>
      <c r="U1102" s="35"/>
      <c r="V1102" s="35"/>
      <c r="W1102" s="36">
        <v>72</v>
      </c>
      <c r="X1102" s="35"/>
      <c r="Y1102" s="35"/>
      <c r="Z1102" s="35"/>
      <c r="AA1102" s="35"/>
    </row>
    <row r="1103" spans="2:27" x14ac:dyDescent="0.25">
      <c r="B1103" s="5">
        <v>461</v>
      </c>
      <c r="C1103" s="34">
        <v>45854</v>
      </c>
      <c r="D1103" s="5" t="s">
        <v>23</v>
      </c>
      <c r="E1103" s="36">
        <v>464.18</v>
      </c>
      <c r="F1103" s="36">
        <f>E1103-G1103</f>
        <v>0</v>
      </c>
      <c r="G1103" s="36">
        <v>464.18</v>
      </c>
      <c r="H1103" s="34">
        <v>45856</v>
      </c>
      <c r="I1103" s="34"/>
      <c r="J1103" s="34">
        <v>45859</v>
      </c>
      <c r="K1103" s="34" t="s">
        <v>457</v>
      </c>
      <c r="L1103" s="34" t="s">
        <v>298</v>
      </c>
      <c r="Q1103" s="35"/>
      <c r="R1103" s="35"/>
      <c r="S1103" s="35"/>
      <c r="T1103" s="35"/>
      <c r="U1103" s="35"/>
      <c r="V1103" s="33">
        <v>464.18</v>
      </c>
      <c r="W1103" s="35"/>
      <c r="X1103" s="35"/>
      <c r="Y1103" s="35"/>
      <c r="Z1103" s="35"/>
      <c r="AA1103" s="35"/>
    </row>
    <row r="1104" spans="2:27" x14ac:dyDescent="0.25">
      <c r="B1104" s="5">
        <v>364</v>
      </c>
      <c r="C1104" s="34">
        <v>45811</v>
      </c>
      <c r="D1104" s="5" t="s">
        <v>247</v>
      </c>
      <c r="E1104" s="36">
        <v>824</v>
      </c>
      <c r="F1104" s="36">
        <f>E1104-G1104</f>
        <v>0</v>
      </c>
      <c r="G1104" s="36">
        <v>824</v>
      </c>
      <c r="H1104" s="34">
        <v>45856</v>
      </c>
      <c r="I1104" s="34"/>
      <c r="J1104" s="34">
        <v>45859</v>
      </c>
      <c r="K1104" s="34" t="s">
        <v>348</v>
      </c>
      <c r="L1104" s="34" t="s">
        <v>309</v>
      </c>
      <c r="M1104" s="34" t="s">
        <v>308</v>
      </c>
      <c r="Q1104" s="41"/>
      <c r="R1104" s="43"/>
      <c r="S1104" s="42"/>
      <c r="T1104" s="35"/>
      <c r="U1104" s="35"/>
      <c r="V1104" s="35"/>
      <c r="W1104" s="33">
        <v>824</v>
      </c>
      <c r="X1104" s="35"/>
      <c r="Y1104" s="35"/>
      <c r="Z1104" s="35"/>
      <c r="AA1104" s="37"/>
    </row>
    <row r="1105" spans="2:27" x14ac:dyDescent="0.25">
      <c r="B1105" s="5">
        <v>458</v>
      </c>
      <c r="C1105" s="34">
        <v>45853</v>
      </c>
      <c r="D1105" s="5" t="s">
        <v>436</v>
      </c>
      <c r="E1105" s="36">
        <v>40</v>
      </c>
      <c r="F1105" s="36">
        <f>E1105-G1105</f>
        <v>0</v>
      </c>
      <c r="G1105" s="36">
        <v>40</v>
      </c>
      <c r="H1105" s="34">
        <v>45860</v>
      </c>
      <c r="I1105" s="34"/>
      <c r="J1105" s="34">
        <v>45860</v>
      </c>
      <c r="K1105" s="34" t="s">
        <v>424</v>
      </c>
      <c r="L1105" s="34" t="s">
        <v>298</v>
      </c>
      <c r="M1105" s="34"/>
      <c r="N1105" s="34"/>
      <c r="Q1105" s="35"/>
      <c r="R1105" s="35"/>
      <c r="S1105" s="35"/>
      <c r="T1105" s="35"/>
      <c r="U1105" s="35"/>
      <c r="V1105" s="35"/>
      <c r="W1105" s="33">
        <v>40</v>
      </c>
      <c r="X1105" s="35"/>
      <c r="Y1105" s="35"/>
      <c r="Z1105" s="35"/>
      <c r="AA1105" s="35"/>
    </row>
    <row r="1106" spans="2:27" x14ac:dyDescent="0.25">
      <c r="B1106" s="5">
        <v>328</v>
      </c>
      <c r="C1106" s="34">
        <v>45791</v>
      </c>
      <c r="D1106" s="5" t="s">
        <v>507</v>
      </c>
      <c r="E1106" s="36">
        <v>11149.15</v>
      </c>
      <c r="F1106" s="36">
        <f>E1106-G1106</f>
        <v>0</v>
      </c>
      <c r="G1106" s="36">
        <v>11149.15</v>
      </c>
      <c r="H1106" s="34">
        <v>45808</v>
      </c>
      <c r="I1106" s="34"/>
      <c r="J1106" s="34">
        <v>45859</v>
      </c>
      <c r="K1106" s="34" t="s">
        <v>345</v>
      </c>
      <c r="L1106" s="5" t="s">
        <v>303</v>
      </c>
      <c r="M1106" s="34" t="s">
        <v>308</v>
      </c>
      <c r="N1106" s="39" t="s">
        <v>506</v>
      </c>
      <c r="Q1106" s="41"/>
      <c r="R1106" s="43"/>
      <c r="S1106" s="36">
        <v>11149.15</v>
      </c>
      <c r="T1106" s="35"/>
      <c r="U1106" s="35"/>
      <c r="V1106" s="35"/>
      <c r="W1106" s="35"/>
      <c r="X1106" s="35"/>
      <c r="Y1106" s="35"/>
      <c r="Z1106" s="35"/>
      <c r="AA1106" s="37"/>
    </row>
    <row r="1107" spans="2:27" x14ac:dyDescent="0.25">
      <c r="B1107" s="5">
        <v>470</v>
      </c>
      <c r="C1107" s="34">
        <v>45859</v>
      </c>
      <c r="D1107" s="5" t="s">
        <v>307</v>
      </c>
      <c r="E1107" s="36">
        <v>76.86</v>
      </c>
      <c r="F1107" s="36">
        <f>E1107-G1107</f>
        <v>0</v>
      </c>
      <c r="G1107" s="36">
        <v>76.86</v>
      </c>
      <c r="H1107" s="34">
        <v>45863</v>
      </c>
      <c r="I1107" s="34"/>
      <c r="J1107" s="34">
        <v>45861</v>
      </c>
      <c r="K1107" s="5" t="s">
        <v>505</v>
      </c>
      <c r="Q1107" s="35"/>
      <c r="R1107" s="35"/>
      <c r="S1107" s="35"/>
      <c r="T1107" s="35"/>
      <c r="U1107" s="35"/>
      <c r="V1107" s="35"/>
      <c r="W1107" s="35"/>
      <c r="X1107" s="33">
        <v>76.86</v>
      </c>
      <c r="Y1107" s="35"/>
      <c r="Z1107" s="35"/>
      <c r="AA1107" s="35"/>
    </row>
    <row r="1108" spans="2:27" x14ac:dyDescent="0.25">
      <c r="B1108" s="5">
        <v>33</v>
      </c>
      <c r="C1108" s="34">
        <v>45673</v>
      </c>
      <c r="D1108" s="5" t="s">
        <v>23</v>
      </c>
      <c r="E1108" s="36">
        <v>2010.15</v>
      </c>
      <c r="F1108" s="36">
        <f>E1108-G1108</f>
        <v>0</v>
      </c>
      <c r="G1108" s="36">
        <v>2010.15</v>
      </c>
      <c r="H1108" s="34">
        <v>45681</v>
      </c>
      <c r="I1108" s="34"/>
      <c r="J1108" s="34">
        <v>45861</v>
      </c>
      <c r="K1108" s="5" t="s">
        <v>382</v>
      </c>
      <c r="L1108" s="5" t="s">
        <v>303</v>
      </c>
      <c r="M1108" s="5" t="s">
        <v>308</v>
      </c>
      <c r="N1108" s="53" t="s">
        <v>504</v>
      </c>
      <c r="Q1108" s="41"/>
      <c r="R1108" s="43"/>
      <c r="S1108" s="64">
        <v>7.55</v>
      </c>
      <c r="T1108" s="35"/>
      <c r="U1108" s="35"/>
      <c r="V1108" s="35"/>
      <c r="W1108" s="35"/>
      <c r="X1108" s="35"/>
      <c r="Y1108" s="35"/>
      <c r="Z1108" s="35"/>
      <c r="AA1108" s="37"/>
    </row>
    <row r="1109" spans="2:27" x14ac:dyDescent="0.25">
      <c r="B1109" s="5">
        <v>466</v>
      </c>
      <c r="C1109" s="34">
        <v>45855</v>
      </c>
      <c r="D1109" s="5" t="s">
        <v>177</v>
      </c>
      <c r="E1109" s="36">
        <v>76.099999999999994</v>
      </c>
      <c r="F1109" s="36">
        <f>E1109-G1109</f>
        <v>0</v>
      </c>
      <c r="G1109" s="36">
        <v>76.099999999999994</v>
      </c>
      <c r="H1109" s="34">
        <v>45862</v>
      </c>
      <c r="I1109" s="34"/>
      <c r="J1109" s="34">
        <v>45862</v>
      </c>
      <c r="K1109" s="34" t="s">
        <v>460</v>
      </c>
      <c r="L1109" s="34" t="s">
        <v>298</v>
      </c>
      <c r="Q1109" s="35"/>
      <c r="R1109" s="35"/>
      <c r="S1109" s="35"/>
      <c r="T1109" s="35"/>
      <c r="U1109" s="35"/>
      <c r="V1109" s="33">
        <v>76.099999999999994</v>
      </c>
      <c r="W1109" s="35"/>
      <c r="X1109" s="35"/>
      <c r="Y1109" s="35"/>
      <c r="Z1109" s="35"/>
      <c r="AA1109" s="35"/>
    </row>
    <row r="1110" spans="2:27" x14ac:dyDescent="0.25">
      <c r="B1110" s="5">
        <v>428</v>
      </c>
      <c r="C1110" s="34">
        <v>45835</v>
      </c>
      <c r="D1110" s="5" t="s">
        <v>503</v>
      </c>
      <c r="E1110" s="36">
        <v>6000</v>
      </c>
      <c r="F1110" s="36">
        <f>E1110-G1110</f>
        <v>0</v>
      </c>
      <c r="G1110" s="36">
        <v>6000</v>
      </c>
      <c r="H1110" s="34">
        <v>45848</v>
      </c>
      <c r="I1110" s="34"/>
      <c r="J1110" s="34">
        <v>45861</v>
      </c>
      <c r="K1110" s="34" t="s">
        <v>424</v>
      </c>
      <c r="L1110" s="34" t="s">
        <v>298</v>
      </c>
      <c r="Q1110" s="41"/>
      <c r="R1110" s="43"/>
      <c r="S1110" s="42"/>
      <c r="T1110" s="42"/>
      <c r="U1110" s="40">
        <v>3000</v>
      </c>
      <c r="V1110" s="40">
        <v>3000</v>
      </c>
      <c r="W1110" s="35"/>
      <c r="X1110" s="35"/>
      <c r="Y1110" s="35"/>
      <c r="Z1110" s="35"/>
      <c r="AA1110" s="37"/>
    </row>
    <row r="1111" spans="2:27" x14ac:dyDescent="0.25">
      <c r="B1111" s="5">
        <v>125</v>
      </c>
      <c r="C1111" s="34">
        <v>45713</v>
      </c>
      <c r="D1111" s="5" t="s">
        <v>417</v>
      </c>
      <c r="E1111" s="36">
        <v>980</v>
      </c>
      <c r="F1111" s="36">
        <f>E1111-G1111</f>
        <v>0</v>
      </c>
      <c r="G1111" s="36">
        <v>980</v>
      </c>
      <c r="H1111" s="34">
        <v>45848</v>
      </c>
      <c r="I1111" s="34"/>
      <c r="J1111" s="34">
        <v>45863</v>
      </c>
      <c r="K1111" s="5" t="s">
        <v>354</v>
      </c>
      <c r="L1111" s="5" t="s">
        <v>298</v>
      </c>
      <c r="N1111" s="45" t="s">
        <v>502</v>
      </c>
      <c r="Q1111" s="41"/>
      <c r="R1111" s="43"/>
      <c r="S1111" s="42"/>
      <c r="T1111" s="35"/>
      <c r="U1111" s="35"/>
      <c r="V1111" s="33">
        <v>980</v>
      </c>
      <c r="W1111" s="35"/>
      <c r="X1111" s="35"/>
      <c r="Y1111" s="35"/>
      <c r="Z1111" s="35"/>
      <c r="AA1111" s="37"/>
    </row>
    <row r="1112" spans="2:27" x14ac:dyDescent="0.25">
      <c r="B1112" s="5">
        <v>473</v>
      </c>
      <c r="C1112" s="34">
        <v>45860</v>
      </c>
      <c r="D1112" s="5" t="s">
        <v>501</v>
      </c>
      <c r="E1112" s="36">
        <v>1210</v>
      </c>
      <c r="F1112" s="36">
        <f>E1112-G1112</f>
        <v>0</v>
      </c>
      <c r="G1112" s="36">
        <v>1210</v>
      </c>
      <c r="H1112" s="34">
        <v>45863</v>
      </c>
      <c r="I1112" s="34"/>
      <c r="J1112" s="34">
        <v>45863</v>
      </c>
      <c r="K1112" s="34" t="s">
        <v>500</v>
      </c>
      <c r="L1112" s="34" t="s">
        <v>298</v>
      </c>
      <c r="Q1112" s="35"/>
      <c r="R1112" s="35"/>
      <c r="S1112" s="35"/>
      <c r="T1112" s="35"/>
      <c r="U1112" s="35"/>
      <c r="V1112" s="33">
        <v>1210</v>
      </c>
      <c r="W1112" s="35"/>
      <c r="X1112" s="35"/>
      <c r="Y1112" s="35"/>
      <c r="Z1112" s="35"/>
      <c r="AA1112" s="35"/>
    </row>
    <row r="1113" spans="2:27" x14ac:dyDescent="0.25">
      <c r="B1113" s="5">
        <v>363</v>
      </c>
      <c r="C1113" s="34">
        <v>45811</v>
      </c>
      <c r="D1113" s="5" t="s">
        <v>375</v>
      </c>
      <c r="E1113" s="36">
        <v>174</v>
      </c>
      <c r="F1113" s="36">
        <f>E1113-G1113</f>
        <v>0</v>
      </c>
      <c r="G1113" s="36">
        <v>174</v>
      </c>
      <c r="H1113" s="34">
        <v>45841</v>
      </c>
      <c r="I1113" s="34"/>
      <c r="J1113" s="34">
        <v>45867</v>
      </c>
      <c r="K1113" s="5" t="s">
        <v>345</v>
      </c>
      <c r="L1113" s="34" t="s">
        <v>309</v>
      </c>
      <c r="M1113" s="34" t="s">
        <v>308</v>
      </c>
      <c r="N1113" s="39" t="s">
        <v>499</v>
      </c>
      <c r="Q1113" s="41"/>
      <c r="R1113" s="43"/>
      <c r="S1113" s="42"/>
      <c r="T1113" s="35"/>
      <c r="U1113" s="35"/>
      <c r="V1113" s="33">
        <v>174</v>
      </c>
      <c r="W1113" s="35"/>
      <c r="X1113" s="35"/>
      <c r="Y1113" s="35"/>
      <c r="Z1113" s="35"/>
      <c r="AA1113" s="37"/>
    </row>
    <row r="1114" spans="2:27" x14ac:dyDescent="0.25">
      <c r="B1114" s="5">
        <v>289</v>
      </c>
      <c r="C1114" s="34">
        <v>45771</v>
      </c>
      <c r="D1114" s="5" t="s">
        <v>449</v>
      </c>
      <c r="E1114" s="36">
        <v>1600</v>
      </c>
      <c r="F1114" s="36">
        <f>E1114-G1114</f>
        <v>0</v>
      </c>
      <c r="G1114" s="36">
        <v>1600</v>
      </c>
      <c r="H1114" s="34">
        <v>45792</v>
      </c>
      <c r="I1114" s="34"/>
      <c r="J1114" s="34">
        <v>45856</v>
      </c>
      <c r="K1114" s="34" t="s">
        <v>382</v>
      </c>
      <c r="L1114" s="34" t="s">
        <v>298</v>
      </c>
      <c r="M1114" s="34"/>
      <c r="Q1114" s="41"/>
      <c r="R1114" s="43"/>
      <c r="S1114" s="42"/>
      <c r="T1114" s="35"/>
      <c r="U1114" s="35"/>
      <c r="V1114" s="36">
        <v>1600</v>
      </c>
      <c r="W1114" s="35"/>
      <c r="X1114" s="35"/>
      <c r="Y1114" s="35"/>
      <c r="Z1114" s="35"/>
      <c r="AA1114" s="37"/>
    </row>
    <row r="1115" spans="2:27" x14ac:dyDescent="0.25">
      <c r="B1115" s="5">
        <v>482</v>
      </c>
      <c r="C1115" s="34">
        <v>45866</v>
      </c>
      <c r="D1115" s="5" t="s">
        <v>491</v>
      </c>
      <c r="E1115" s="36">
        <v>34.36</v>
      </c>
      <c r="F1115" s="36">
        <f>E1115-G1115</f>
        <v>0</v>
      </c>
      <c r="G1115" s="36">
        <v>34.36</v>
      </c>
      <c r="H1115" s="34">
        <v>45867</v>
      </c>
      <c r="I1115" s="34"/>
      <c r="J1115" s="34">
        <v>45867</v>
      </c>
      <c r="K1115" s="34" t="s">
        <v>494</v>
      </c>
      <c r="L1115" s="34" t="s">
        <v>298</v>
      </c>
      <c r="Q1115" s="35"/>
      <c r="R1115" s="35"/>
      <c r="S1115" s="35"/>
      <c r="T1115" s="35"/>
      <c r="U1115" s="35"/>
      <c r="V1115" s="33">
        <v>34.36</v>
      </c>
      <c r="W1115" s="35"/>
      <c r="X1115" s="35"/>
      <c r="Y1115" s="35"/>
      <c r="Z1115" s="35"/>
      <c r="AA1115" s="35"/>
    </row>
    <row r="1116" spans="2:27" x14ac:dyDescent="0.25">
      <c r="B1116" s="5">
        <v>468</v>
      </c>
      <c r="C1116" s="34">
        <v>45856</v>
      </c>
      <c r="D1116" s="5" t="s">
        <v>498</v>
      </c>
      <c r="E1116" s="36">
        <v>480</v>
      </c>
      <c r="F1116" s="36">
        <f>E1116-G1116</f>
        <v>0</v>
      </c>
      <c r="G1116" s="36">
        <v>480</v>
      </c>
      <c r="H1116" s="34">
        <v>45866</v>
      </c>
      <c r="I1116" s="34"/>
      <c r="J1116" s="34">
        <v>45869</v>
      </c>
      <c r="K1116" s="34" t="s">
        <v>497</v>
      </c>
      <c r="L1116" s="34" t="s">
        <v>298</v>
      </c>
      <c r="M1116" s="34"/>
      <c r="N1116" s="39" t="s">
        <v>496</v>
      </c>
      <c r="Q1116" s="35"/>
      <c r="R1116" s="35"/>
      <c r="S1116" s="35"/>
      <c r="T1116" s="35"/>
      <c r="U1116" s="35"/>
      <c r="V1116" s="35"/>
      <c r="W1116" s="33">
        <v>480</v>
      </c>
      <c r="X1116" s="35"/>
      <c r="Y1116" s="35"/>
      <c r="Z1116" s="35"/>
      <c r="AA1116" s="35"/>
    </row>
    <row r="1117" spans="2:27" x14ac:dyDescent="0.25">
      <c r="B1117" s="5">
        <v>451</v>
      </c>
      <c r="C1117" s="34">
        <v>45849</v>
      </c>
      <c r="D1117" s="5" t="s">
        <v>184</v>
      </c>
      <c r="E1117" s="36">
        <v>550</v>
      </c>
      <c r="F1117" s="36">
        <f>E1117-G1117</f>
        <v>0</v>
      </c>
      <c r="G1117" s="36">
        <v>550</v>
      </c>
      <c r="H1117" s="34">
        <v>45860</v>
      </c>
      <c r="I1117" s="34"/>
      <c r="J1117" s="34">
        <v>45868</v>
      </c>
      <c r="K1117" s="34" t="s">
        <v>348</v>
      </c>
      <c r="L1117" s="34" t="s">
        <v>298</v>
      </c>
      <c r="M1117" s="34"/>
      <c r="N1117" s="39" t="s">
        <v>496</v>
      </c>
      <c r="Q1117" s="35"/>
      <c r="R1117" s="35"/>
      <c r="S1117" s="35"/>
      <c r="T1117" s="35"/>
      <c r="U1117" s="33">
        <v>550</v>
      </c>
      <c r="V1117" s="35"/>
      <c r="W1117" s="35"/>
      <c r="X1117" s="35"/>
      <c r="Y1117" s="35"/>
      <c r="Z1117" s="35"/>
      <c r="AA1117" s="35"/>
    </row>
    <row r="1118" spans="2:27" x14ac:dyDescent="0.25">
      <c r="B1118" s="5">
        <v>472</v>
      </c>
      <c r="C1118" s="34">
        <v>45860</v>
      </c>
      <c r="D1118" s="5" t="s">
        <v>300</v>
      </c>
      <c r="E1118" s="36">
        <v>186</v>
      </c>
      <c r="F1118" s="36">
        <f>E1118-G1118</f>
        <v>0</v>
      </c>
      <c r="G1118" s="36">
        <v>186</v>
      </c>
      <c r="H1118" s="34">
        <v>45867</v>
      </c>
      <c r="I1118" s="34"/>
      <c r="J1118" s="34">
        <v>45869</v>
      </c>
      <c r="K1118" s="34" t="s">
        <v>313</v>
      </c>
      <c r="L1118" s="34" t="s">
        <v>298</v>
      </c>
      <c r="Q1118" s="35"/>
      <c r="R1118" s="35"/>
      <c r="S1118" s="35"/>
      <c r="T1118" s="35"/>
      <c r="U1118" s="35"/>
      <c r="V1118" s="35"/>
      <c r="W1118" s="40">
        <v>186</v>
      </c>
      <c r="X1118" s="35"/>
      <c r="Y1118" s="35"/>
      <c r="Z1118" s="35"/>
      <c r="AA1118" s="35"/>
    </row>
    <row r="1119" spans="2:27" x14ac:dyDescent="0.25">
      <c r="B1119" s="5">
        <v>437</v>
      </c>
      <c r="C1119" s="34">
        <v>45840</v>
      </c>
      <c r="D1119" s="5" t="s">
        <v>405</v>
      </c>
      <c r="E1119" s="36">
        <v>2600</v>
      </c>
      <c r="F1119" s="36">
        <f>E1119-G1119</f>
        <v>0</v>
      </c>
      <c r="G1119" s="36">
        <v>2600</v>
      </c>
      <c r="H1119" s="34">
        <v>45849</v>
      </c>
      <c r="I1119" s="34"/>
      <c r="J1119" s="34">
        <v>45869</v>
      </c>
      <c r="K1119" s="34" t="s">
        <v>494</v>
      </c>
      <c r="L1119" s="34" t="s">
        <v>309</v>
      </c>
      <c r="M1119" s="34"/>
      <c r="N1119" s="39" t="s">
        <v>495</v>
      </c>
      <c r="Q1119" s="35"/>
      <c r="R1119" s="35"/>
      <c r="S1119" s="35"/>
      <c r="T1119" s="35"/>
      <c r="U1119" s="35"/>
      <c r="V1119" s="33">
        <v>2600</v>
      </c>
      <c r="W1119" s="35"/>
      <c r="X1119" s="35"/>
      <c r="Y1119" s="35"/>
      <c r="Z1119" s="35"/>
      <c r="AA1119" s="35"/>
    </row>
    <row r="1120" spans="2:27" x14ac:dyDescent="0.25">
      <c r="B1120" s="5">
        <v>433</v>
      </c>
      <c r="C1120" s="34">
        <v>45839</v>
      </c>
      <c r="D1120" s="5" t="s">
        <v>470</v>
      </c>
      <c r="E1120" s="36">
        <v>2600</v>
      </c>
      <c r="F1120" s="36">
        <f>E1120-G1120</f>
        <v>0</v>
      </c>
      <c r="G1120" s="36">
        <v>2600</v>
      </c>
      <c r="H1120" s="34">
        <v>45869</v>
      </c>
      <c r="I1120" s="34"/>
      <c r="J1120" s="34">
        <v>45869</v>
      </c>
      <c r="K1120" s="34" t="s">
        <v>424</v>
      </c>
      <c r="L1120" s="34" t="s">
        <v>309</v>
      </c>
      <c r="Q1120" s="35"/>
      <c r="R1120" s="35"/>
      <c r="S1120" s="35"/>
      <c r="T1120" s="35"/>
      <c r="U1120" s="35"/>
      <c r="V1120" s="65">
        <v>2600</v>
      </c>
      <c r="W1120" s="35"/>
      <c r="X1120" s="35"/>
      <c r="Y1120" s="35"/>
      <c r="Z1120" s="35"/>
      <c r="AA1120" s="35"/>
    </row>
    <row r="1121" spans="2:29" x14ac:dyDescent="0.25">
      <c r="B1121" s="5">
        <v>413</v>
      </c>
      <c r="C1121" s="34">
        <v>45831</v>
      </c>
      <c r="D1121" s="5" t="s">
        <v>357</v>
      </c>
      <c r="E1121" s="36">
        <v>88.8</v>
      </c>
      <c r="F1121" s="36">
        <f>E1121-G1121</f>
        <v>0</v>
      </c>
      <c r="G1121" s="36">
        <v>88.8</v>
      </c>
      <c r="H1121" s="34">
        <v>45834</v>
      </c>
      <c r="I1121" s="34"/>
      <c r="J1121" s="34">
        <v>45869</v>
      </c>
      <c r="K1121" s="34" t="s">
        <v>424</v>
      </c>
      <c r="L1121" s="5" t="s">
        <v>303</v>
      </c>
      <c r="Q1121" s="41"/>
      <c r="R1121" s="43"/>
      <c r="S1121" s="42"/>
      <c r="T1121" s="35"/>
      <c r="U1121" s="35"/>
      <c r="V1121" s="33">
        <v>24</v>
      </c>
      <c r="W1121" s="40">
        <v>47.5</v>
      </c>
      <c r="X1121" s="35"/>
      <c r="Y1121" s="35"/>
      <c r="Z1121" s="35"/>
      <c r="AA1121" s="37"/>
    </row>
    <row r="1122" spans="2:29" x14ac:dyDescent="0.25">
      <c r="B1122" s="5">
        <v>450</v>
      </c>
      <c r="C1122" s="34">
        <v>45849</v>
      </c>
      <c r="D1122" s="5" t="s">
        <v>436</v>
      </c>
      <c r="E1122" s="36">
        <v>100</v>
      </c>
      <c r="F1122" s="36">
        <f>E1122-G1122</f>
        <v>0</v>
      </c>
      <c r="G1122" s="36">
        <v>100</v>
      </c>
      <c r="H1122" s="34">
        <v>45856</v>
      </c>
      <c r="I1122" s="34"/>
      <c r="J1122" s="34">
        <v>45874</v>
      </c>
      <c r="K1122" s="34" t="s">
        <v>494</v>
      </c>
      <c r="L1122" s="5" t="s">
        <v>298</v>
      </c>
      <c r="Q1122" s="35"/>
      <c r="R1122" s="35"/>
      <c r="S1122" s="35"/>
      <c r="T1122" s="35"/>
      <c r="U1122" s="35"/>
      <c r="V1122" s="35"/>
      <c r="W1122" s="40">
        <v>100</v>
      </c>
      <c r="X1122" s="35"/>
      <c r="Y1122" s="35"/>
      <c r="Z1122" s="35"/>
      <c r="AA1122" s="35"/>
    </row>
    <row r="1123" spans="2:29" x14ac:dyDescent="0.25">
      <c r="B1123" s="5">
        <v>483</v>
      </c>
      <c r="C1123" s="34">
        <v>45867</v>
      </c>
      <c r="D1123" s="5" t="s">
        <v>307</v>
      </c>
      <c r="E1123" s="36">
        <v>113.07</v>
      </c>
      <c r="F1123" s="36">
        <f>E1123-G1123</f>
        <v>0</v>
      </c>
      <c r="G1123" s="36">
        <v>113.07</v>
      </c>
      <c r="H1123" s="34">
        <v>45868</v>
      </c>
      <c r="I1123" s="34"/>
      <c r="J1123" s="34">
        <v>45870</v>
      </c>
      <c r="K1123" s="34" t="s">
        <v>424</v>
      </c>
      <c r="L1123" s="34" t="s">
        <v>309</v>
      </c>
      <c r="Q1123" s="35"/>
      <c r="R1123" s="35"/>
      <c r="S1123" s="35"/>
      <c r="T1123" s="35"/>
      <c r="U1123" s="35"/>
      <c r="V1123" s="35"/>
      <c r="W1123" s="35"/>
      <c r="X1123" s="33">
        <v>113.07</v>
      </c>
      <c r="Y1123" s="35"/>
      <c r="Z1123" s="35"/>
      <c r="AA1123" s="35"/>
    </row>
    <row r="1124" spans="2:29" x14ac:dyDescent="0.25">
      <c r="B1124" s="5">
        <v>464</v>
      </c>
      <c r="C1124" s="34">
        <v>45854</v>
      </c>
      <c r="D1124" s="5" t="s">
        <v>493</v>
      </c>
      <c r="E1124" s="36">
        <v>40.590000000000003</v>
      </c>
      <c r="F1124" s="36">
        <f>E1124-G1124</f>
        <v>0</v>
      </c>
      <c r="G1124" s="36">
        <v>40.590000000000003</v>
      </c>
      <c r="H1124" s="34">
        <v>45859</v>
      </c>
      <c r="I1124" s="34"/>
      <c r="J1124" s="34">
        <v>45870</v>
      </c>
      <c r="K1124" s="34" t="s">
        <v>367</v>
      </c>
      <c r="L1124" s="5" t="s">
        <v>298</v>
      </c>
      <c r="Q1124" s="35"/>
      <c r="R1124" s="35"/>
      <c r="S1124" s="35"/>
      <c r="T1124" s="35"/>
      <c r="U1124" s="33">
        <v>40.590000000000003</v>
      </c>
      <c r="V1124" s="35"/>
      <c r="W1124" s="35"/>
      <c r="X1124" s="35"/>
      <c r="Y1124" s="35"/>
      <c r="Z1124" s="35"/>
      <c r="AA1124" s="35"/>
    </row>
    <row r="1125" spans="2:29" x14ac:dyDescent="0.25">
      <c r="B1125" s="5">
        <v>486</v>
      </c>
      <c r="C1125" s="34">
        <v>45869</v>
      </c>
      <c r="D1125" s="5" t="s">
        <v>307</v>
      </c>
      <c r="E1125" s="33">
        <v>94.64</v>
      </c>
      <c r="F1125" s="33">
        <f>E1125-G1125</f>
        <v>0</v>
      </c>
      <c r="G1125" s="33">
        <v>94.64</v>
      </c>
      <c r="H1125" s="34">
        <v>45870</v>
      </c>
      <c r="I1125" s="34"/>
      <c r="J1125" s="34">
        <v>45870</v>
      </c>
      <c r="K1125" s="34" t="s">
        <v>457</v>
      </c>
      <c r="L1125" s="5" t="s">
        <v>309</v>
      </c>
      <c r="Q1125" s="35"/>
      <c r="R1125" s="35"/>
      <c r="S1125" s="35"/>
      <c r="T1125" s="35"/>
      <c r="U1125" s="35"/>
      <c r="V1125" s="35"/>
      <c r="W1125" s="35"/>
      <c r="X1125" s="33">
        <v>94.64</v>
      </c>
      <c r="Y1125" s="35"/>
      <c r="Z1125" s="35"/>
      <c r="AA1125" s="35"/>
    </row>
    <row r="1126" spans="2:29" x14ac:dyDescent="0.25">
      <c r="B1126" s="5">
        <v>465</v>
      </c>
      <c r="C1126" s="34">
        <v>45855</v>
      </c>
      <c r="D1126" s="5" t="s">
        <v>492</v>
      </c>
      <c r="E1126" s="33">
        <v>800</v>
      </c>
      <c r="F1126" s="33">
        <f>E1126-G1126</f>
        <v>0</v>
      </c>
      <c r="G1126" s="33">
        <v>800</v>
      </c>
      <c r="H1126" s="34">
        <v>45877</v>
      </c>
      <c r="I1126" s="34"/>
      <c r="J1126" s="34">
        <v>45874</v>
      </c>
      <c r="K1126" s="34" t="s">
        <v>396</v>
      </c>
      <c r="L1126" s="34" t="s">
        <v>298</v>
      </c>
      <c r="Q1126" s="35"/>
      <c r="R1126" s="35"/>
      <c r="S1126" s="35"/>
      <c r="T1126" s="35"/>
      <c r="U1126" s="35"/>
      <c r="V1126" s="33">
        <v>800</v>
      </c>
      <c r="W1126" s="35"/>
      <c r="X1126" s="35"/>
      <c r="Y1126" s="35"/>
      <c r="Z1126" s="35"/>
      <c r="AA1126" s="35"/>
    </row>
    <row r="1127" spans="2:29" x14ac:dyDescent="0.25">
      <c r="B1127" s="5">
        <v>487</v>
      </c>
      <c r="C1127" s="34">
        <v>45870</v>
      </c>
      <c r="D1127" s="5" t="s">
        <v>331</v>
      </c>
      <c r="E1127" s="33">
        <v>171.4</v>
      </c>
      <c r="F1127" s="33">
        <f>E1127-G1127</f>
        <v>0</v>
      </c>
      <c r="G1127" s="33">
        <v>171.4</v>
      </c>
      <c r="H1127" s="34">
        <v>45876</v>
      </c>
      <c r="I1127" s="34"/>
      <c r="J1127" s="34">
        <v>45875</v>
      </c>
      <c r="K1127" s="5" t="s">
        <v>457</v>
      </c>
      <c r="L1127" s="5" t="s">
        <v>298</v>
      </c>
      <c r="Q1127" s="35"/>
      <c r="R1127" s="35"/>
      <c r="S1127" s="35"/>
      <c r="T1127" s="35"/>
      <c r="U1127" s="35"/>
      <c r="V1127" s="35"/>
      <c r="W1127" s="33">
        <v>171.4</v>
      </c>
      <c r="X1127" s="35"/>
      <c r="Y1127" s="35"/>
      <c r="Z1127" s="35"/>
      <c r="AA1127" s="35"/>
    </row>
    <row r="1128" spans="2:29" x14ac:dyDescent="0.25">
      <c r="B1128" s="5">
        <v>495</v>
      </c>
      <c r="C1128" s="34">
        <v>45874</v>
      </c>
      <c r="D1128" s="5" t="s">
        <v>491</v>
      </c>
      <c r="E1128" s="33">
        <v>30.5</v>
      </c>
      <c r="F1128" s="33">
        <f>E1128-G1128</f>
        <v>0</v>
      </c>
      <c r="G1128" s="33">
        <v>30.5</v>
      </c>
      <c r="H1128" s="34">
        <v>45875</v>
      </c>
      <c r="I1128" s="34"/>
      <c r="J1128" s="34">
        <v>45875</v>
      </c>
      <c r="K1128" s="5" t="s">
        <v>457</v>
      </c>
      <c r="L1128" s="5" t="s">
        <v>298</v>
      </c>
      <c r="Q1128" s="35"/>
      <c r="R1128" s="35"/>
      <c r="S1128" s="35"/>
      <c r="T1128" s="35"/>
      <c r="U1128" s="35"/>
      <c r="V1128" s="35"/>
      <c r="W1128" s="33">
        <v>30.5</v>
      </c>
      <c r="X1128" s="35"/>
      <c r="Y1128" s="35"/>
      <c r="Z1128" s="35"/>
      <c r="AA1128" s="35"/>
    </row>
    <row r="1129" spans="2:29" x14ac:dyDescent="0.25">
      <c r="B1129" s="5">
        <v>494</v>
      </c>
      <c r="C1129" s="34">
        <v>45873</v>
      </c>
      <c r="D1129" s="5" t="s">
        <v>23</v>
      </c>
      <c r="E1129" s="36">
        <v>118</v>
      </c>
      <c r="F1129" s="36">
        <f>E1129-G1129</f>
        <v>0</v>
      </c>
      <c r="G1129" s="36">
        <v>118</v>
      </c>
      <c r="H1129" s="34">
        <v>45876</v>
      </c>
      <c r="I1129" s="34"/>
      <c r="J1129" s="34">
        <v>45875</v>
      </c>
      <c r="K1129" s="34" t="s">
        <v>313</v>
      </c>
      <c r="L1129" s="5" t="s">
        <v>309</v>
      </c>
      <c r="Q1129" s="35"/>
      <c r="R1129" s="35"/>
      <c r="S1129" s="35"/>
      <c r="T1129" s="35"/>
      <c r="U1129" s="35"/>
      <c r="V1129" s="35"/>
      <c r="W1129" s="33">
        <v>118</v>
      </c>
      <c r="X1129" s="35"/>
      <c r="Y1129" s="35"/>
      <c r="Z1129" s="35"/>
      <c r="AA1129" s="35"/>
    </row>
    <row r="1130" spans="2:29" x14ac:dyDescent="0.25">
      <c r="B1130" s="5">
        <v>491</v>
      </c>
      <c r="C1130" s="34">
        <v>45870</v>
      </c>
      <c r="D1130" s="5" t="s">
        <v>23</v>
      </c>
      <c r="E1130" s="36">
        <v>1755.28</v>
      </c>
      <c r="F1130" s="36">
        <f>E1130-G1130</f>
        <v>0</v>
      </c>
      <c r="G1130" s="36">
        <v>1755.28</v>
      </c>
      <c r="H1130" s="34">
        <v>45874</v>
      </c>
      <c r="I1130" s="34"/>
      <c r="J1130" s="34">
        <v>45874</v>
      </c>
      <c r="K1130" s="34" t="s">
        <v>457</v>
      </c>
      <c r="L1130" s="5" t="s">
        <v>309</v>
      </c>
      <c r="Q1130" s="35"/>
      <c r="R1130" s="35"/>
      <c r="S1130" s="35"/>
      <c r="T1130" s="35"/>
      <c r="U1130" s="35"/>
      <c r="V1130" s="35"/>
      <c r="W1130" s="33">
        <v>1755.28</v>
      </c>
      <c r="X1130" s="35"/>
      <c r="Y1130" s="35"/>
      <c r="Z1130" s="35"/>
      <c r="AA1130" s="35"/>
      <c r="AB1130" s="34"/>
      <c r="AC1130" s="34"/>
    </row>
    <row r="1131" spans="2:29" x14ac:dyDescent="0.25">
      <c r="B1131" s="5">
        <v>484</v>
      </c>
      <c r="C1131" s="34">
        <v>45869</v>
      </c>
      <c r="D1131" s="5" t="s">
        <v>316</v>
      </c>
      <c r="E1131" s="36">
        <v>400</v>
      </c>
      <c r="F1131" s="36">
        <f>E1131-G1131</f>
        <v>0</v>
      </c>
      <c r="G1131" s="36">
        <v>400</v>
      </c>
      <c r="H1131" s="34">
        <v>45900</v>
      </c>
      <c r="I1131" s="34"/>
      <c r="J1131" s="34">
        <v>45874</v>
      </c>
      <c r="K1131" s="34" t="s">
        <v>313</v>
      </c>
      <c r="L1131" s="5" t="s">
        <v>309</v>
      </c>
      <c r="Q1131" s="35"/>
      <c r="R1131" s="35"/>
      <c r="S1131" s="35"/>
      <c r="T1131" s="35"/>
      <c r="U1131" s="35"/>
      <c r="V1131" s="35"/>
      <c r="W1131" s="33">
        <v>400</v>
      </c>
      <c r="X1131" s="35"/>
      <c r="Y1131" s="35"/>
      <c r="Z1131" s="35"/>
      <c r="AA1131" s="35"/>
    </row>
    <row r="1132" spans="2:29" x14ac:dyDescent="0.25">
      <c r="B1132" s="5">
        <v>489</v>
      </c>
      <c r="C1132" s="34">
        <v>45870</v>
      </c>
      <c r="D1132" s="5" t="s">
        <v>490</v>
      </c>
      <c r="E1132" s="36">
        <v>2386.44</v>
      </c>
      <c r="F1132" s="36">
        <f>E1132-G1132</f>
        <v>0</v>
      </c>
      <c r="G1132" s="36">
        <v>2386.44</v>
      </c>
      <c r="H1132" s="34">
        <v>45874</v>
      </c>
      <c r="I1132" s="34"/>
      <c r="J1132" s="34">
        <v>45875</v>
      </c>
      <c r="K1132" s="34" t="s">
        <v>457</v>
      </c>
      <c r="L1132" s="5" t="s">
        <v>309</v>
      </c>
      <c r="Q1132" s="35"/>
      <c r="R1132" s="35"/>
      <c r="S1132" s="35"/>
      <c r="T1132" s="35"/>
      <c r="U1132" s="35"/>
      <c r="V1132" s="35"/>
      <c r="W1132" s="35"/>
      <c r="X1132" s="33">
        <v>2386.44</v>
      </c>
      <c r="Y1132" s="35"/>
      <c r="Z1132" s="35"/>
      <c r="AA1132" s="35"/>
    </row>
    <row r="1133" spans="2:29" x14ac:dyDescent="0.25">
      <c r="B1133" s="5">
        <v>496</v>
      </c>
      <c r="C1133" s="34">
        <v>45874</v>
      </c>
      <c r="D1133" s="5" t="s">
        <v>402</v>
      </c>
      <c r="E1133" s="36">
        <v>130</v>
      </c>
      <c r="F1133" s="36">
        <f>E1133-G1133</f>
        <v>0</v>
      </c>
      <c r="G1133" s="36">
        <v>130</v>
      </c>
      <c r="H1133" s="34">
        <v>45875</v>
      </c>
      <c r="I1133" s="34"/>
      <c r="J1133" s="34">
        <v>45876</v>
      </c>
      <c r="K1133" s="34" t="s">
        <v>457</v>
      </c>
      <c r="L1133" s="5" t="s">
        <v>309</v>
      </c>
      <c r="Q1133" s="35"/>
      <c r="R1133" s="35"/>
      <c r="S1133" s="35"/>
      <c r="T1133" s="35"/>
      <c r="U1133" s="35"/>
      <c r="V1133" s="35"/>
      <c r="W1133" s="35"/>
      <c r="X1133" s="33">
        <v>130</v>
      </c>
      <c r="Y1133" s="35"/>
      <c r="Z1133" s="35"/>
      <c r="AA1133" s="35"/>
    </row>
    <row r="1134" spans="2:29" x14ac:dyDescent="0.25">
      <c r="B1134" s="5">
        <v>498</v>
      </c>
      <c r="C1134" s="34">
        <v>45874</v>
      </c>
      <c r="D1134" s="5" t="s">
        <v>402</v>
      </c>
      <c r="E1134" s="36">
        <v>126</v>
      </c>
      <c r="F1134" s="36">
        <f>E1134-G1134</f>
        <v>0</v>
      </c>
      <c r="G1134" s="36">
        <v>126</v>
      </c>
      <c r="H1134" s="34">
        <v>45876</v>
      </c>
      <c r="I1134" s="34"/>
      <c r="J1134" s="34">
        <v>45876</v>
      </c>
      <c r="K1134" s="34" t="s">
        <v>460</v>
      </c>
      <c r="L1134" s="5" t="s">
        <v>309</v>
      </c>
      <c r="Q1134" s="35"/>
      <c r="R1134" s="35"/>
      <c r="S1134" s="35"/>
      <c r="T1134" s="35"/>
      <c r="U1134" s="35"/>
      <c r="V1134" s="35"/>
      <c r="W1134" s="35"/>
      <c r="X1134" s="33">
        <v>126</v>
      </c>
      <c r="Y1134" s="35"/>
      <c r="Z1134" s="35"/>
      <c r="AA1134" s="35"/>
    </row>
    <row r="1135" spans="2:29" x14ac:dyDescent="0.25">
      <c r="B1135" s="5">
        <v>415</v>
      </c>
      <c r="C1135" s="34">
        <v>45831</v>
      </c>
      <c r="D1135" s="5" t="s">
        <v>489</v>
      </c>
      <c r="E1135" s="36">
        <v>550</v>
      </c>
      <c r="F1135" s="36">
        <f>E1135-G1135</f>
        <v>0</v>
      </c>
      <c r="G1135" s="36">
        <v>550</v>
      </c>
      <c r="H1135" s="34">
        <v>45866</v>
      </c>
      <c r="I1135" s="34"/>
      <c r="J1135" s="34">
        <v>45874</v>
      </c>
      <c r="K1135" s="34" t="s">
        <v>330</v>
      </c>
      <c r="L1135" s="5" t="s">
        <v>309</v>
      </c>
      <c r="Q1135" s="35"/>
      <c r="R1135" s="35"/>
      <c r="S1135" s="35"/>
      <c r="T1135" s="35"/>
      <c r="U1135" s="35"/>
      <c r="V1135" s="35"/>
      <c r="W1135" s="35"/>
      <c r="X1135" s="35"/>
      <c r="Y1135" s="36">
        <v>550</v>
      </c>
      <c r="Z1135" s="35"/>
      <c r="AA1135" s="35"/>
    </row>
    <row r="1136" spans="2:29" x14ac:dyDescent="0.25">
      <c r="B1136" s="5">
        <v>505</v>
      </c>
      <c r="C1136" s="34">
        <v>45876</v>
      </c>
      <c r="D1136" s="5" t="s">
        <v>23</v>
      </c>
      <c r="E1136" s="36">
        <v>243.8</v>
      </c>
      <c r="F1136" s="36">
        <f>E1136-G1136</f>
        <v>0</v>
      </c>
      <c r="G1136" s="36">
        <v>243.8</v>
      </c>
      <c r="H1136" s="34">
        <v>45896</v>
      </c>
      <c r="I1136" s="34"/>
      <c r="J1136" s="34">
        <v>45896</v>
      </c>
      <c r="K1136" s="34" t="s">
        <v>457</v>
      </c>
      <c r="L1136" s="5" t="s">
        <v>309</v>
      </c>
      <c r="Q1136" s="35"/>
      <c r="R1136" s="35"/>
      <c r="S1136" s="35"/>
      <c r="T1136" s="35"/>
      <c r="U1136" s="35"/>
      <c r="V1136" s="35"/>
      <c r="W1136" s="33">
        <v>243.8</v>
      </c>
      <c r="X1136" s="35"/>
      <c r="Y1136" s="35"/>
      <c r="Z1136" s="35"/>
      <c r="AA1136" s="35"/>
    </row>
    <row r="1137" spans="2:27" x14ac:dyDescent="0.25">
      <c r="B1137" s="5">
        <v>488</v>
      </c>
      <c r="C1137" s="34">
        <v>45870</v>
      </c>
      <c r="D1137" s="5" t="s">
        <v>477</v>
      </c>
      <c r="E1137" s="36">
        <v>456</v>
      </c>
      <c r="F1137" s="36">
        <f>E1137-G1137</f>
        <v>0</v>
      </c>
      <c r="G1137" s="36">
        <v>456</v>
      </c>
      <c r="H1137" s="34">
        <v>45876</v>
      </c>
      <c r="I1137" s="34"/>
      <c r="J1137" s="34">
        <v>45877</v>
      </c>
      <c r="K1137" s="34" t="s">
        <v>457</v>
      </c>
      <c r="L1137" s="34" t="s">
        <v>298</v>
      </c>
      <c r="Q1137" s="35"/>
      <c r="R1137" s="35"/>
      <c r="S1137" s="35"/>
      <c r="T1137" s="35"/>
      <c r="U1137" s="35"/>
      <c r="V1137" s="35"/>
      <c r="W1137" s="36">
        <v>456</v>
      </c>
      <c r="X1137" s="35"/>
      <c r="Y1137" s="35"/>
      <c r="Z1137" s="35"/>
      <c r="AA1137" s="35"/>
    </row>
    <row r="1138" spans="2:27" x14ac:dyDescent="0.25">
      <c r="B1138" s="5">
        <v>467</v>
      </c>
      <c r="C1138" s="34">
        <v>45855</v>
      </c>
      <c r="D1138" s="5" t="s">
        <v>488</v>
      </c>
      <c r="E1138" s="36">
        <v>490</v>
      </c>
      <c r="F1138" s="36">
        <f>E1138-G1138</f>
        <v>0</v>
      </c>
      <c r="G1138" s="36">
        <v>490</v>
      </c>
      <c r="H1138" s="34">
        <v>45896</v>
      </c>
      <c r="I1138" s="34"/>
      <c r="J1138" s="34">
        <v>45896</v>
      </c>
      <c r="K1138" s="34" t="s">
        <v>396</v>
      </c>
      <c r="L1138" s="34" t="s">
        <v>298</v>
      </c>
      <c r="Q1138" s="35"/>
      <c r="R1138" s="35"/>
      <c r="S1138" s="35"/>
      <c r="T1138" s="35"/>
      <c r="U1138" s="33">
        <v>490</v>
      </c>
      <c r="V1138" s="35"/>
      <c r="W1138" s="35"/>
      <c r="X1138" s="35"/>
      <c r="Y1138" s="35"/>
      <c r="Z1138" s="35"/>
      <c r="AA1138" s="35"/>
    </row>
    <row r="1139" spans="2:27" x14ac:dyDescent="0.25">
      <c r="B1139" s="5">
        <v>367</v>
      </c>
      <c r="C1139" s="34">
        <v>45812</v>
      </c>
      <c r="D1139" s="5" t="s">
        <v>173</v>
      </c>
      <c r="E1139" s="36">
        <v>44.4</v>
      </c>
      <c r="F1139" s="36">
        <f>E1139-G1139</f>
        <v>0</v>
      </c>
      <c r="G1139" s="36">
        <v>44.4</v>
      </c>
      <c r="H1139" s="34">
        <v>45817</v>
      </c>
      <c r="I1139" s="34"/>
      <c r="J1139" s="34">
        <v>45817</v>
      </c>
      <c r="K1139" s="5" t="s">
        <v>365</v>
      </c>
      <c r="L1139" s="34" t="s">
        <v>298</v>
      </c>
      <c r="Q1139" s="35"/>
      <c r="R1139" s="35"/>
      <c r="S1139" s="35"/>
      <c r="T1139" s="35"/>
      <c r="U1139" s="35"/>
      <c r="V1139" s="35"/>
      <c r="W1139" s="36">
        <v>44.4</v>
      </c>
      <c r="X1139" s="35"/>
      <c r="Y1139" s="35"/>
      <c r="Z1139" s="35"/>
      <c r="AA1139" s="35"/>
    </row>
    <row r="1140" spans="2:27" x14ac:dyDescent="0.25">
      <c r="B1140" s="5">
        <v>441</v>
      </c>
      <c r="C1140" s="34">
        <v>45840</v>
      </c>
      <c r="D1140" s="5" t="s">
        <v>173</v>
      </c>
      <c r="E1140" s="36">
        <v>1868.4</v>
      </c>
      <c r="F1140" s="36">
        <f>E1140-G1140</f>
        <v>0</v>
      </c>
      <c r="G1140" s="36">
        <v>1868.4</v>
      </c>
      <c r="H1140" s="34">
        <v>46234</v>
      </c>
      <c r="I1140" s="34"/>
      <c r="J1140" s="34">
        <v>45874</v>
      </c>
      <c r="K1140" s="5" t="s">
        <v>365</v>
      </c>
      <c r="L1140" s="34" t="s">
        <v>298</v>
      </c>
      <c r="Q1140" s="35"/>
      <c r="R1140" s="35"/>
      <c r="S1140" s="35"/>
      <c r="T1140" s="35"/>
      <c r="U1140" s="35"/>
      <c r="V1140" s="35"/>
      <c r="W1140" s="36">
        <v>1868.4</v>
      </c>
      <c r="X1140" s="35"/>
      <c r="Y1140" s="35"/>
      <c r="Z1140" s="35"/>
      <c r="AA1140" s="35"/>
    </row>
    <row r="1141" spans="2:27" x14ac:dyDescent="0.25">
      <c r="B1141" s="5">
        <v>474</v>
      </c>
      <c r="C1141" s="34">
        <v>45861</v>
      </c>
      <c r="D1141" s="5" t="s">
        <v>481</v>
      </c>
      <c r="E1141" s="36">
        <v>640</v>
      </c>
      <c r="F1141" s="36">
        <f>E1141-G1141</f>
        <v>0</v>
      </c>
      <c r="G1141" s="36">
        <v>640</v>
      </c>
      <c r="H1141" s="34">
        <v>45876</v>
      </c>
      <c r="I1141" s="34"/>
      <c r="J1141" s="34">
        <v>45897</v>
      </c>
      <c r="K1141" s="34" t="s">
        <v>424</v>
      </c>
      <c r="L1141" s="34" t="s">
        <v>298</v>
      </c>
      <c r="Q1141" s="35"/>
      <c r="R1141" s="35"/>
      <c r="S1141" s="35"/>
      <c r="T1141" s="35"/>
      <c r="U1141" s="35"/>
      <c r="V1141" s="35"/>
      <c r="W1141" s="35"/>
      <c r="X1141" s="33">
        <v>640</v>
      </c>
      <c r="Y1141" s="35"/>
      <c r="Z1141" s="35"/>
      <c r="AA1141" s="35"/>
    </row>
    <row r="1142" spans="2:27" x14ac:dyDescent="0.25">
      <c r="B1142" s="5">
        <v>516</v>
      </c>
      <c r="C1142" s="34">
        <v>45897</v>
      </c>
      <c r="D1142" s="5" t="s">
        <v>170</v>
      </c>
      <c r="E1142" s="36">
        <v>105</v>
      </c>
      <c r="F1142" s="36">
        <f>E1142-G1142</f>
        <v>0</v>
      </c>
      <c r="G1142" s="36">
        <v>105</v>
      </c>
      <c r="H1142" s="34">
        <v>45898</v>
      </c>
      <c r="I1142" s="34"/>
      <c r="J1142" s="34">
        <v>45897</v>
      </c>
      <c r="K1142" s="34" t="s">
        <v>486</v>
      </c>
      <c r="L1142" s="34" t="s">
        <v>298</v>
      </c>
      <c r="Q1142" s="35"/>
      <c r="R1142" s="35"/>
      <c r="S1142" s="35"/>
      <c r="T1142" s="35"/>
      <c r="U1142" s="35"/>
      <c r="V1142" s="35"/>
      <c r="W1142" s="33">
        <v>105</v>
      </c>
      <c r="X1142" s="35"/>
      <c r="Y1142" s="35"/>
      <c r="Z1142" s="35"/>
      <c r="AA1142" s="35"/>
    </row>
    <row r="1143" spans="2:27" x14ac:dyDescent="0.25">
      <c r="B1143" s="5">
        <v>513</v>
      </c>
      <c r="C1143" s="34">
        <v>45896</v>
      </c>
      <c r="D1143" s="5" t="s">
        <v>414</v>
      </c>
      <c r="E1143" s="36">
        <v>800</v>
      </c>
      <c r="F1143" s="36">
        <f>E1143-G1143</f>
        <v>0</v>
      </c>
      <c r="G1143" s="36">
        <v>800</v>
      </c>
      <c r="H1143" s="34">
        <v>45896</v>
      </c>
      <c r="I1143" s="34"/>
      <c r="J1143" s="34">
        <v>45899</v>
      </c>
      <c r="K1143" s="34" t="s">
        <v>342</v>
      </c>
      <c r="L1143" s="34" t="s">
        <v>298</v>
      </c>
      <c r="M1143" s="34"/>
      <c r="N1143" s="45" t="s">
        <v>372</v>
      </c>
      <c r="Q1143" s="35"/>
      <c r="R1143" s="35"/>
      <c r="S1143" s="35"/>
      <c r="T1143" s="35"/>
      <c r="U1143" s="35"/>
      <c r="V1143" s="35"/>
      <c r="W1143" s="36">
        <v>800</v>
      </c>
      <c r="X1143" s="35"/>
      <c r="Y1143" s="35"/>
      <c r="Z1143" s="35"/>
      <c r="AA1143" s="35"/>
    </row>
    <row r="1144" spans="2:27" x14ac:dyDescent="0.25">
      <c r="B1144" s="5">
        <v>510</v>
      </c>
      <c r="C1144" s="34">
        <v>45896</v>
      </c>
      <c r="D1144" s="5" t="s">
        <v>307</v>
      </c>
      <c r="E1144" s="36">
        <v>13.47</v>
      </c>
      <c r="F1144" s="36">
        <f>E1144-G1144</f>
        <v>0</v>
      </c>
      <c r="G1144" s="36">
        <v>13.47</v>
      </c>
      <c r="H1144" s="34">
        <v>45898</v>
      </c>
      <c r="I1144" s="34"/>
      <c r="J1144" s="34">
        <v>45898</v>
      </c>
      <c r="K1144" s="34" t="s">
        <v>457</v>
      </c>
      <c r="L1144" s="34" t="s">
        <v>298</v>
      </c>
      <c r="M1144" s="34"/>
      <c r="N1144" s="39" t="s">
        <v>487</v>
      </c>
      <c r="Q1144" s="35"/>
      <c r="R1144" s="35"/>
      <c r="S1144" s="35"/>
      <c r="T1144" s="35"/>
      <c r="U1144" s="35"/>
      <c r="V1144" s="35"/>
      <c r="W1144" s="35"/>
      <c r="X1144" s="35"/>
      <c r="Y1144" s="33">
        <v>13.47</v>
      </c>
      <c r="Z1144" s="35"/>
      <c r="AA1144" s="35"/>
    </row>
    <row r="1145" spans="2:27" x14ac:dyDescent="0.25">
      <c r="B1145" s="5">
        <v>490</v>
      </c>
      <c r="C1145" s="34">
        <v>45870</v>
      </c>
      <c r="D1145" s="5" t="s">
        <v>470</v>
      </c>
      <c r="E1145" s="36">
        <v>1200</v>
      </c>
      <c r="F1145" s="36">
        <f>E1145-G1145</f>
        <v>0</v>
      </c>
      <c r="G1145" s="36">
        <v>1200</v>
      </c>
      <c r="H1145" s="34">
        <v>45900</v>
      </c>
      <c r="I1145" s="34"/>
      <c r="J1145" s="34">
        <v>45900</v>
      </c>
      <c r="K1145" s="34" t="s">
        <v>424</v>
      </c>
      <c r="L1145" s="34" t="s">
        <v>298</v>
      </c>
      <c r="Q1145" s="35"/>
      <c r="R1145" s="35"/>
      <c r="S1145" s="35"/>
      <c r="T1145" s="35"/>
      <c r="U1145" s="35"/>
      <c r="V1145" s="35"/>
      <c r="W1145" s="36">
        <v>1200</v>
      </c>
      <c r="X1145" s="35"/>
      <c r="Y1145" s="35"/>
      <c r="Z1145" s="35"/>
      <c r="AA1145" s="35"/>
    </row>
    <row r="1146" spans="2:27" x14ac:dyDescent="0.25">
      <c r="B1146" s="5">
        <v>514</v>
      </c>
      <c r="C1146" s="34">
        <v>45897</v>
      </c>
      <c r="D1146" s="5" t="s">
        <v>375</v>
      </c>
      <c r="E1146" s="36">
        <v>203.98</v>
      </c>
      <c r="F1146" s="36">
        <f>E1146-G1146</f>
        <v>0</v>
      </c>
      <c r="G1146" s="36">
        <v>203.98</v>
      </c>
      <c r="H1146" s="34">
        <v>45898</v>
      </c>
      <c r="I1146" s="34"/>
      <c r="J1146" s="34">
        <v>45901</v>
      </c>
      <c r="K1146" s="34" t="s">
        <v>486</v>
      </c>
      <c r="L1146" s="34" t="s">
        <v>298</v>
      </c>
      <c r="M1146" s="34"/>
      <c r="N1146" s="39" t="s">
        <v>485</v>
      </c>
      <c r="Q1146" s="35"/>
      <c r="R1146" s="35"/>
      <c r="S1146" s="35"/>
      <c r="T1146" s="35"/>
      <c r="U1146" s="35"/>
      <c r="V1146" s="35"/>
      <c r="W1146" s="35"/>
      <c r="X1146" s="36">
        <v>203.98</v>
      </c>
      <c r="Y1146" s="35"/>
      <c r="Z1146" s="35"/>
      <c r="AA1146" s="35"/>
    </row>
    <row r="1147" spans="2:27" x14ac:dyDescent="0.25">
      <c r="B1147" s="5">
        <v>485</v>
      </c>
      <c r="C1147" s="34">
        <v>45869</v>
      </c>
      <c r="D1147" s="5" t="s">
        <v>484</v>
      </c>
      <c r="E1147" s="36">
        <v>705</v>
      </c>
      <c r="F1147" s="36">
        <f>E1147-G1147</f>
        <v>0</v>
      </c>
      <c r="G1147" s="36">
        <v>705</v>
      </c>
      <c r="H1147" s="34">
        <v>45900</v>
      </c>
      <c r="I1147" s="34"/>
      <c r="J1147" s="34">
        <v>45901</v>
      </c>
      <c r="K1147" s="34" t="s">
        <v>457</v>
      </c>
      <c r="L1147" s="34" t="s">
        <v>298</v>
      </c>
      <c r="M1147" s="34"/>
      <c r="N1147" s="39" t="s">
        <v>483</v>
      </c>
      <c r="Q1147" s="35"/>
      <c r="R1147" s="35"/>
      <c r="S1147" s="35"/>
      <c r="T1147" s="35"/>
      <c r="U1147" s="35"/>
      <c r="V1147" s="35"/>
      <c r="W1147" s="35"/>
      <c r="X1147" s="35"/>
      <c r="Y1147" s="35"/>
      <c r="Z1147" s="36">
        <v>705</v>
      </c>
      <c r="AA1147" s="35"/>
    </row>
    <row r="1148" spans="2:27" x14ac:dyDescent="0.25">
      <c r="B1148" s="5">
        <v>497</v>
      </c>
      <c r="C1148" s="34">
        <v>45874</v>
      </c>
      <c r="D1148" s="5" t="s">
        <v>175</v>
      </c>
      <c r="E1148" s="36">
        <v>880</v>
      </c>
      <c r="F1148" s="36">
        <f>E1148-G1148</f>
        <v>0</v>
      </c>
      <c r="G1148" s="36">
        <v>880</v>
      </c>
      <c r="H1148" s="34">
        <v>45875</v>
      </c>
      <c r="I1148" s="34"/>
      <c r="J1148" s="34">
        <v>45898</v>
      </c>
      <c r="K1148" s="34" t="s">
        <v>457</v>
      </c>
      <c r="L1148" s="34" t="s">
        <v>298</v>
      </c>
      <c r="Q1148" s="35"/>
      <c r="R1148" s="35"/>
      <c r="S1148" s="35"/>
      <c r="T1148" s="35"/>
      <c r="U1148" s="35"/>
      <c r="V1148" s="35"/>
      <c r="W1148" s="36">
        <v>880</v>
      </c>
      <c r="X1148" s="35"/>
      <c r="Y1148" s="35"/>
      <c r="Z1148" s="35"/>
      <c r="AA1148" s="35"/>
    </row>
    <row r="1149" spans="2:27" x14ac:dyDescent="0.25">
      <c r="B1149" s="5">
        <v>394</v>
      </c>
      <c r="C1149" s="34">
        <v>45821</v>
      </c>
      <c r="D1149" s="5" t="s">
        <v>357</v>
      </c>
      <c r="E1149" s="36">
        <v>294.27999999999997</v>
      </c>
      <c r="F1149" s="36">
        <f>E1149-G1149</f>
        <v>0</v>
      </c>
      <c r="G1149" s="36">
        <v>294.27999999999997</v>
      </c>
      <c r="H1149" s="34">
        <v>45826</v>
      </c>
      <c r="I1149" s="34"/>
      <c r="J1149" s="34">
        <v>45897</v>
      </c>
      <c r="K1149" s="5" t="s">
        <v>367</v>
      </c>
      <c r="L1149" s="5" t="s">
        <v>298</v>
      </c>
      <c r="Q1149" s="41"/>
      <c r="R1149" s="43"/>
      <c r="S1149" s="42"/>
      <c r="T1149" s="35"/>
      <c r="U1149" s="36">
        <v>268.18</v>
      </c>
      <c r="V1149" s="35"/>
      <c r="W1149" s="40">
        <v>26.1</v>
      </c>
      <c r="X1149" s="35"/>
      <c r="Y1149" s="35"/>
      <c r="Z1149" s="35"/>
      <c r="AA1149" s="37"/>
    </row>
    <row r="1150" spans="2:27" x14ac:dyDescent="0.25">
      <c r="B1150" s="5">
        <v>448</v>
      </c>
      <c r="C1150" s="34">
        <v>45847</v>
      </c>
      <c r="D1150" s="5" t="s">
        <v>371</v>
      </c>
      <c r="E1150" s="36">
        <v>1367.1</v>
      </c>
      <c r="F1150" s="36">
        <f>E1150-G1150</f>
        <v>0</v>
      </c>
      <c r="G1150" s="36">
        <v>1367.1</v>
      </c>
      <c r="H1150" s="34">
        <v>45856</v>
      </c>
      <c r="I1150" s="34"/>
      <c r="J1150" s="34">
        <v>45903</v>
      </c>
      <c r="K1150" s="34" t="s">
        <v>348</v>
      </c>
      <c r="L1150" s="34" t="s">
        <v>309</v>
      </c>
      <c r="M1150" s="34"/>
      <c r="N1150" s="39" t="s">
        <v>482</v>
      </c>
      <c r="Q1150" s="35"/>
      <c r="R1150" s="35"/>
      <c r="S1150" s="35"/>
      <c r="T1150" s="35"/>
      <c r="U1150" s="35"/>
      <c r="V1150" s="35"/>
      <c r="W1150" s="35"/>
      <c r="X1150" s="35"/>
      <c r="Y1150" s="36">
        <v>1367.1</v>
      </c>
      <c r="Z1150" s="35"/>
      <c r="AA1150" s="35"/>
    </row>
    <row r="1151" spans="2:27" x14ac:dyDescent="0.25">
      <c r="B1151" s="5">
        <v>517</v>
      </c>
      <c r="C1151" s="34">
        <v>45897</v>
      </c>
      <c r="D1151" s="5" t="s">
        <v>328</v>
      </c>
      <c r="E1151" s="36">
        <v>187.7</v>
      </c>
      <c r="F1151" s="36">
        <f>E1151-G1151</f>
        <v>0</v>
      </c>
      <c r="G1151" s="36">
        <v>187.7</v>
      </c>
      <c r="H1151" s="34">
        <v>45898</v>
      </c>
      <c r="I1151" s="34"/>
      <c r="J1151" s="34">
        <v>45903</v>
      </c>
      <c r="K1151" s="34" t="s">
        <v>457</v>
      </c>
      <c r="L1151" s="5" t="s">
        <v>298</v>
      </c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  <c r="AA1151" s="35"/>
    </row>
    <row r="1152" spans="2:27" x14ac:dyDescent="0.25">
      <c r="B1152" s="5">
        <v>519</v>
      </c>
      <c r="C1152" s="34">
        <v>45901</v>
      </c>
      <c r="D1152" s="5" t="s">
        <v>481</v>
      </c>
      <c r="E1152" s="33">
        <v>442</v>
      </c>
      <c r="F1152" s="33">
        <f>E1152-G1152</f>
        <v>0</v>
      </c>
      <c r="G1152" s="33">
        <v>442</v>
      </c>
      <c r="H1152" s="34">
        <v>45902</v>
      </c>
      <c r="I1152" s="34"/>
      <c r="J1152" s="34">
        <v>45902</v>
      </c>
      <c r="K1152" s="34" t="s">
        <v>457</v>
      </c>
      <c r="L1152" s="5" t="s">
        <v>298</v>
      </c>
      <c r="Q1152" s="35"/>
      <c r="R1152" s="35"/>
      <c r="S1152" s="35"/>
      <c r="T1152" s="35"/>
      <c r="U1152" s="35"/>
      <c r="V1152" s="35"/>
      <c r="W1152" s="35"/>
      <c r="X1152" s="35"/>
      <c r="Y1152" s="40">
        <v>442</v>
      </c>
      <c r="Z1152" s="35"/>
      <c r="AA1152" s="35"/>
    </row>
    <row r="1153" spans="2:29" x14ac:dyDescent="0.25">
      <c r="B1153" s="5">
        <v>512</v>
      </c>
      <c r="C1153" s="34">
        <v>45896</v>
      </c>
      <c r="D1153" s="5" t="s">
        <v>184</v>
      </c>
      <c r="E1153" s="36">
        <v>189</v>
      </c>
      <c r="F1153" s="36">
        <f>E1153-G1153</f>
        <v>0</v>
      </c>
      <c r="G1153" s="36">
        <v>189</v>
      </c>
      <c r="H1153" s="34">
        <v>45897</v>
      </c>
      <c r="I1153" s="34"/>
      <c r="J1153" s="34">
        <v>45901</v>
      </c>
      <c r="K1153" s="34" t="s">
        <v>345</v>
      </c>
      <c r="L1153" s="5" t="s">
        <v>298</v>
      </c>
      <c r="Q1153" s="35"/>
      <c r="R1153" s="35"/>
      <c r="S1153" s="35"/>
      <c r="T1153" s="35"/>
      <c r="U1153" s="35"/>
      <c r="V1153" s="35"/>
      <c r="W1153" s="36">
        <v>189</v>
      </c>
      <c r="X1153" s="35"/>
      <c r="Y1153" s="35"/>
      <c r="Z1153" s="35"/>
      <c r="AA1153" s="35"/>
    </row>
    <row r="1154" spans="2:29" x14ac:dyDescent="0.25">
      <c r="B1154" s="5">
        <v>523</v>
      </c>
      <c r="C1154" s="34">
        <v>45902</v>
      </c>
      <c r="D1154" s="5" t="s">
        <v>480</v>
      </c>
      <c r="E1154" s="36">
        <v>754</v>
      </c>
      <c r="F1154" s="36">
        <f>E1154-G1154</f>
        <v>0</v>
      </c>
      <c r="G1154" s="36">
        <v>754</v>
      </c>
      <c r="H1154" s="34">
        <v>45902</v>
      </c>
      <c r="I1154" s="34"/>
      <c r="J1154" s="34">
        <v>45902</v>
      </c>
      <c r="K1154" s="34" t="s">
        <v>457</v>
      </c>
      <c r="L1154" s="5" t="s">
        <v>298</v>
      </c>
      <c r="Q1154" s="35"/>
      <c r="R1154" s="35"/>
      <c r="S1154" s="35"/>
      <c r="T1154" s="35"/>
      <c r="U1154" s="35"/>
      <c r="V1154" s="35"/>
      <c r="W1154" s="33">
        <v>754</v>
      </c>
      <c r="X1154" s="35"/>
      <c r="Y1154" s="35"/>
      <c r="Z1154" s="35"/>
      <c r="AA1154" s="35"/>
    </row>
    <row r="1155" spans="2:29" x14ac:dyDescent="0.25">
      <c r="B1155" s="5">
        <v>427</v>
      </c>
      <c r="C1155" s="34">
        <v>45835</v>
      </c>
      <c r="D1155" s="5" t="s">
        <v>449</v>
      </c>
      <c r="E1155" s="36">
        <v>18800</v>
      </c>
      <c r="F1155" s="36">
        <f>E1155-G1155</f>
        <v>0</v>
      </c>
      <c r="G1155" s="36">
        <v>18800</v>
      </c>
      <c r="H1155" s="34">
        <v>45930</v>
      </c>
      <c r="I1155" s="34"/>
      <c r="J1155" s="34">
        <v>45900</v>
      </c>
      <c r="K1155" s="34" t="s">
        <v>479</v>
      </c>
      <c r="L1155" s="34" t="s">
        <v>309</v>
      </c>
      <c r="M1155" s="34" t="s">
        <v>308</v>
      </c>
      <c r="N1155" s="34"/>
      <c r="Q1155" s="35"/>
      <c r="R1155" s="35"/>
      <c r="S1155" s="35"/>
      <c r="T1155" s="35"/>
      <c r="U1155" s="35"/>
      <c r="V1155" s="35"/>
      <c r="W1155" s="35"/>
      <c r="X1155" s="36">
        <v>18800</v>
      </c>
      <c r="Y1155" s="35"/>
      <c r="Z1155" s="35"/>
      <c r="AA1155" s="35"/>
    </row>
    <row r="1156" spans="2:29" x14ac:dyDescent="0.25">
      <c r="B1156" s="5">
        <v>520</v>
      </c>
      <c r="C1156" s="34">
        <v>45901</v>
      </c>
      <c r="D1156" s="5" t="s">
        <v>478</v>
      </c>
      <c r="E1156" s="36">
        <v>40.299999999999997</v>
      </c>
      <c r="F1156" s="36">
        <f>E1156-G1156</f>
        <v>0</v>
      </c>
      <c r="G1156" s="36">
        <v>40.299999999999997</v>
      </c>
      <c r="H1156" s="34">
        <v>45905</v>
      </c>
      <c r="I1156" s="34"/>
      <c r="J1156" s="34">
        <v>45903</v>
      </c>
      <c r="K1156" s="34" t="s">
        <v>424</v>
      </c>
      <c r="L1156" s="34" t="s">
        <v>298</v>
      </c>
      <c r="Q1156" s="35"/>
      <c r="R1156" s="35"/>
      <c r="S1156" s="35"/>
      <c r="T1156" s="35"/>
      <c r="U1156" s="35"/>
      <c r="V1156" s="35"/>
      <c r="W1156" s="33">
        <v>40.299999999999997</v>
      </c>
      <c r="X1156" s="35"/>
      <c r="Y1156" s="35"/>
      <c r="Z1156" s="35"/>
      <c r="AA1156" s="35"/>
    </row>
    <row r="1157" spans="2:29" x14ac:dyDescent="0.25">
      <c r="B1157" s="5">
        <v>218</v>
      </c>
      <c r="C1157" s="34">
        <v>45743</v>
      </c>
      <c r="D1157" s="5" t="s">
        <v>395</v>
      </c>
      <c r="E1157" s="36">
        <v>1990</v>
      </c>
      <c r="F1157" s="36">
        <f>E1157-G1157</f>
        <v>0</v>
      </c>
      <c r="G1157" s="36">
        <v>1990</v>
      </c>
      <c r="H1157" s="34">
        <v>45762</v>
      </c>
      <c r="I1157" s="34"/>
      <c r="J1157" s="34">
        <v>45900</v>
      </c>
      <c r="K1157" s="34" t="s">
        <v>396</v>
      </c>
      <c r="L1157" s="34" t="s">
        <v>298</v>
      </c>
      <c r="Q1157" s="35"/>
      <c r="R1157" s="35"/>
      <c r="S1157" s="35"/>
      <c r="T1157" s="35"/>
      <c r="U1157" s="35"/>
      <c r="V1157" s="35"/>
      <c r="W1157" s="36">
        <v>1990</v>
      </c>
      <c r="X1157" s="35"/>
      <c r="Y1157" s="35"/>
      <c r="Z1157" s="35"/>
      <c r="AA1157" s="35"/>
    </row>
    <row r="1158" spans="2:29" x14ac:dyDescent="0.25">
      <c r="B1158" s="5">
        <v>509</v>
      </c>
      <c r="C1158" s="34">
        <v>45877</v>
      </c>
      <c r="D1158" s="5" t="s">
        <v>477</v>
      </c>
      <c r="E1158" s="36">
        <v>655</v>
      </c>
      <c r="F1158" s="36">
        <f>E1158-G1158</f>
        <v>0</v>
      </c>
      <c r="G1158" s="36">
        <v>655</v>
      </c>
      <c r="H1158" s="34">
        <v>45905</v>
      </c>
      <c r="I1158" s="34"/>
      <c r="J1158" s="34">
        <v>45905</v>
      </c>
      <c r="K1158" s="34" t="s">
        <v>457</v>
      </c>
      <c r="L1158" s="5" t="s">
        <v>298</v>
      </c>
      <c r="Q1158" s="35"/>
      <c r="R1158" s="35"/>
      <c r="S1158" s="35"/>
      <c r="T1158" s="35"/>
      <c r="U1158" s="35"/>
      <c r="V1158" s="35"/>
      <c r="W1158" s="35"/>
      <c r="X1158" s="33">
        <v>655</v>
      </c>
      <c r="Y1158" s="35"/>
      <c r="Z1158" s="35"/>
      <c r="AA1158" s="35"/>
    </row>
    <row r="1159" spans="2:29" x14ac:dyDescent="0.25">
      <c r="B1159" s="5">
        <v>511</v>
      </c>
      <c r="C1159" s="34">
        <v>45896</v>
      </c>
      <c r="D1159" s="5" t="s">
        <v>476</v>
      </c>
      <c r="E1159" s="36">
        <v>1159.25</v>
      </c>
      <c r="F1159" s="36">
        <f>E1159-G1159</f>
        <v>0</v>
      </c>
      <c r="G1159" s="36">
        <v>1159.25</v>
      </c>
      <c r="H1159" s="34">
        <v>45903</v>
      </c>
      <c r="I1159" s="34"/>
      <c r="J1159" s="34">
        <v>45904</v>
      </c>
      <c r="K1159" s="34" t="s">
        <v>460</v>
      </c>
      <c r="L1159" s="34" t="s">
        <v>309</v>
      </c>
      <c r="M1159" s="34" t="s">
        <v>308</v>
      </c>
      <c r="Q1159" s="35"/>
      <c r="R1159" s="35"/>
      <c r="S1159" s="35"/>
      <c r="T1159" s="35"/>
      <c r="U1159" s="35"/>
      <c r="V1159" s="35"/>
      <c r="W1159" s="35"/>
      <c r="X1159" s="33">
        <v>1159.25</v>
      </c>
      <c r="Y1159" s="35"/>
      <c r="Z1159" s="35"/>
      <c r="AA1159" s="35"/>
    </row>
    <row r="1160" spans="2:29" x14ac:dyDescent="0.25">
      <c r="B1160" s="5">
        <v>536</v>
      </c>
      <c r="C1160" s="34">
        <v>45908</v>
      </c>
      <c r="D1160" s="5" t="s">
        <v>268</v>
      </c>
      <c r="E1160" s="33">
        <v>668.22</v>
      </c>
      <c r="F1160" s="33">
        <f>E1160-G1160</f>
        <v>0</v>
      </c>
      <c r="G1160" s="33">
        <v>668.22</v>
      </c>
      <c r="H1160" s="34">
        <v>45919</v>
      </c>
      <c r="I1160" s="34"/>
      <c r="J1160" s="34">
        <v>45912</v>
      </c>
      <c r="K1160" s="5" t="s">
        <v>457</v>
      </c>
      <c r="L1160" s="5" t="s">
        <v>298</v>
      </c>
      <c r="Q1160" s="44"/>
      <c r="R1160" s="44"/>
      <c r="S1160" s="44"/>
      <c r="T1160" s="44"/>
      <c r="U1160" s="44"/>
      <c r="V1160" s="44"/>
      <c r="W1160" s="44"/>
      <c r="X1160" s="33">
        <v>668.22</v>
      </c>
      <c r="Y1160" s="44"/>
      <c r="Z1160" s="44"/>
      <c r="AA1160" s="37"/>
    </row>
    <row r="1161" spans="2:29" x14ac:dyDescent="0.25">
      <c r="B1161" s="5">
        <v>542</v>
      </c>
      <c r="C1161" s="34">
        <v>45911</v>
      </c>
      <c r="D1161" s="5" t="s">
        <v>23</v>
      </c>
      <c r="E1161" s="33">
        <v>81.599999999999994</v>
      </c>
      <c r="F1161" s="33">
        <f>E1161-G1161</f>
        <v>0</v>
      </c>
      <c r="G1161" s="33">
        <v>81.599999999999994</v>
      </c>
      <c r="H1161" s="34">
        <v>45915</v>
      </c>
      <c r="I1161" s="34"/>
      <c r="J1161" s="34">
        <v>45916</v>
      </c>
      <c r="K1161" s="34" t="s">
        <v>351</v>
      </c>
      <c r="L1161" s="34" t="s">
        <v>298</v>
      </c>
      <c r="Q1161" s="35"/>
      <c r="R1161" s="35"/>
      <c r="S1161" s="35"/>
      <c r="T1161" s="35"/>
      <c r="U1161" s="35"/>
      <c r="V1161" s="35"/>
      <c r="W1161" s="35"/>
      <c r="X1161" s="33">
        <v>81.599999999999994</v>
      </c>
      <c r="Y1161" s="35"/>
      <c r="Z1161" s="35"/>
      <c r="AA1161" s="35"/>
      <c r="AB1161" s="35"/>
      <c r="AC1161" s="35"/>
    </row>
    <row r="1162" spans="2:29" x14ac:dyDescent="0.25">
      <c r="B1162" s="5">
        <v>110</v>
      </c>
      <c r="C1162" s="34">
        <v>45706</v>
      </c>
      <c r="D1162" s="5" t="s">
        <v>23</v>
      </c>
      <c r="E1162" s="36">
        <v>344.81</v>
      </c>
      <c r="F1162" s="36">
        <f>E1162-G1162</f>
        <v>0</v>
      </c>
      <c r="G1162" s="36">
        <v>344.81</v>
      </c>
      <c r="H1162" s="34">
        <v>45712</v>
      </c>
      <c r="I1162" s="34"/>
      <c r="J1162" s="34">
        <v>45908</v>
      </c>
      <c r="K1162" s="5" t="s">
        <v>382</v>
      </c>
      <c r="L1162" s="5" t="s">
        <v>303</v>
      </c>
      <c r="Q1162" s="36">
        <v>332.76</v>
      </c>
      <c r="R1162" s="43"/>
      <c r="S1162" s="64">
        <v>12.05</v>
      </c>
      <c r="T1162" s="35"/>
      <c r="U1162" s="35"/>
      <c r="V1162" s="35"/>
      <c r="W1162" s="35"/>
      <c r="X1162" s="40">
        <v>12.05</v>
      </c>
      <c r="Y1162" s="35"/>
      <c r="Z1162" s="35"/>
      <c r="AA1162" s="37"/>
    </row>
    <row r="1163" spans="2:29" x14ac:dyDescent="0.25">
      <c r="B1163" s="5">
        <v>534</v>
      </c>
      <c r="C1163" s="34">
        <v>45908</v>
      </c>
      <c r="D1163" s="5" t="s">
        <v>23</v>
      </c>
      <c r="E1163" s="36">
        <v>75.099999999999994</v>
      </c>
      <c r="F1163" s="36">
        <f>E1163-G1163</f>
        <v>0</v>
      </c>
      <c r="G1163" s="36">
        <v>75.099999999999994</v>
      </c>
      <c r="H1163" s="34">
        <v>45911</v>
      </c>
      <c r="I1163" s="34"/>
      <c r="J1163" s="34">
        <v>45910</v>
      </c>
      <c r="K1163" s="5" t="s">
        <v>313</v>
      </c>
      <c r="L1163" s="5" t="s">
        <v>298</v>
      </c>
      <c r="Q1163" s="35"/>
      <c r="R1163" s="35"/>
      <c r="S1163" s="35"/>
      <c r="T1163" s="35"/>
      <c r="U1163" s="35"/>
      <c r="V1163" s="35"/>
      <c r="W1163" s="35"/>
      <c r="X1163" s="33">
        <v>75.099999999999994</v>
      </c>
      <c r="Y1163" s="35"/>
      <c r="Z1163" s="35"/>
      <c r="AA1163" s="35"/>
      <c r="AB1163" s="37"/>
      <c r="AC1163" s="37"/>
    </row>
    <row r="1164" spans="2:29" x14ac:dyDescent="0.25">
      <c r="B1164" s="5">
        <v>538</v>
      </c>
      <c r="C1164" s="34">
        <v>45909</v>
      </c>
      <c r="D1164" s="5" t="s">
        <v>307</v>
      </c>
      <c r="E1164" s="36">
        <v>110.5</v>
      </c>
      <c r="F1164" s="36">
        <f>E1164-G1164</f>
        <v>0</v>
      </c>
      <c r="G1164" s="36">
        <v>110.5</v>
      </c>
      <c r="H1164" s="34">
        <v>45910</v>
      </c>
      <c r="I1164" s="34"/>
      <c r="J1164" s="34">
        <v>45911</v>
      </c>
      <c r="K1164" s="5" t="s">
        <v>313</v>
      </c>
      <c r="L1164" s="5" t="s">
        <v>298</v>
      </c>
      <c r="Q1164" s="35"/>
      <c r="R1164" s="35"/>
      <c r="S1164" s="35"/>
      <c r="T1164" s="35"/>
      <c r="U1164" s="35"/>
      <c r="V1164" s="35"/>
      <c r="W1164" s="35"/>
      <c r="X1164" s="35"/>
      <c r="Y1164" s="35"/>
      <c r="Z1164" s="33">
        <v>110.5</v>
      </c>
      <c r="AA1164" s="37"/>
      <c r="AB1164" s="37"/>
      <c r="AC1164" s="37"/>
    </row>
    <row r="1165" spans="2:29" x14ac:dyDescent="0.25">
      <c r="B1165" s="5">
        <v>525</v>
      </c>
      <c r="C1165" s="34">
        <v>45903</v>
      </c>
      <c r="D1165" s="5" t="s">
        <v>252</v>
      </c>
      <c r="E1165" s="36">
        <v>115</v>
      </c>
      <c r="F1165" s="36">
        <f>E1165-G1165</f>
        <v>0</v>
      </c>
      <c r="G1165" s="36">
        <v>115</v>
      </c>
      <c r="H1165" s="34">
        <v>45909</v>
      </c>
      <c r="I1165" s="34"/>
      <c r="J1165" s="34">
        <v>45908</v>
      </c>
      <c r="K1165" s="34" t="s">
        <v>475</v>
      </c>
      <c r="L1165" s="5" t="s">
        <v>309</v>
      </c>
      <c r="M1165" s="34" t="s">
        <v>308</v>
      </c>
      <c r="Q1165" s="35"/>
      <c r="R1165" s="35"/>
      <c r="S1165" s="35"/>
      <c r="T1165" s="35"/>
      <c r="U1165" s="35"/>
      <c r="V1165" s="35"/>
      <c r="W1165" s="35"/>
      <c r="X1165" s="35"/>
      <c r="Y1165" s="35"/>
      <c r="Z1165" s="33">
        <v>115</v>
      </c>
      <c r="AA1165" s="35"/>
      <c r="AB1165" s="37"/>
      <c r="AC1165" s="37"/>
    </row>
    <row r="1166" spans="2:29" x14ac:dyDescent="0.25">
      <c r="B1166" s="5">
        <v>530</v>
      </c>
      <c r="C1166" s="34">
        <v>45905</v>
      </c>
      <c r="D1166" s="5" t="s">
        <v>436</v>
      </c>
      <c r="E1166" s="36">
        <v>240</v>
      </c>
      <c r="F1166" s="36">
        <f>E1166-G1166</f>
        <v>0</v>
      </c>
      <c r="G1166" s="36">
        <v>240</v>
      </c>
      <c r="H1166" s="34">
        <v>45912</v>
      </c>
      <c r="I1166" s="34"/>
      <c r="J1166" s="34">
        <v>45915</v>
      </c>
      <c r="K1166" s="34" t="s">
        <v>474</v>
      </c>
      <c r="L1166" s="34" t="s">
        <v>298</v>
      </c>
      <c r="Q1166" s="35"/>
      <c r="R1166" s="35"/>
      <c r="S1166" s="35"/>
      <c r="T1166" s="35"/>
      <c r="U1166" s="35"/>
      <c r="V1166" s="35"/>
      <c r="W1166" s="35"/>
      <c r="X1166" s="35"/>
      <c r="Y1166" s="33">
        <v>240</v>
      </c>
      <c r="Z1166" s="35"/>
      <c r="AA1166" s="35"/>
      <c r="AB1166" s="37"/>
      <c r="AC1166" s="37"/>
    </row>
    <row r="1167" spans="2:29" x14ac:dyDescent="0.25">
      <c r="B1167" s="5">
        <v>521</v>
      </c>
      <c r="C1167" s="34">
        <v>45902</v>
      </c>
      <c r="D1167" s="5" t="s">
        <v>300</v>
      </c>
      <c r="E1167" s="36">
        <v>858</v>
      </c>
      <c r="F1167" s="36">
        <f>E1167-G1167</f>
        <v>0</v>
      </c>
      <c r="G1167" s="36">
        <v>858</v>
      </c>
      <c r="H1167" s="34">
        <v>45909</v>
      </c>
      <c r="I1167" s="34"/>
      <c r="J1167" s="34">
        <v>45917</v>
      </c>
      <c r="K1167" s="34" t="s">
        <v>351</v>
      </c>
      <c r="L1167" s="5" t="s">
        <v>298</v>
      </c>
      <c r="Q1167" s="35"/>
      <c r="R1167" s="35"/>
      <c r="S1167" s="35"/>
      <c r="T1167" s="35"/>
      <c r="U1167" s="35"/>
      <c r="V1167" s="35"/>
      <c r="W1167" s="35"/>
      <c r="X1167" s="35"/>
      <c r="Y1167" s="40">
        <v>858</v>
      </c>
      <c r="Z1167" s="35"/>
      <c r="AA1167" s="35"/>
      <c r="AB1167" s="37"/>
      <c r="AC1167" s="37"/>
    </row>
    <row r="1168" spans="2:29" x14ac:dyDescent="0.25">
      <c r="B1168" s="5">
        <v>529</v>
      </c>
      <c r="C1168" s="34">
        <v>45905</v>
      </c>
      <c r="D1168" s="5" t="s">
        <v>328</v>
      </c>
      <c r="E1168" s="36">
        <v>105.6</v>
      </c>
      <c r="F1168" s="36">
        <f>E1168-G1168</f>
        <v>0</v>
      </c>
      <c r="G1168" s="36">
        <v>105.6</v>
      </c>
      <c r="H1168" s="34">
        <v>45940</v>
      </c>
      <c r="I1168" s="34"/>
      <c r="J1168" s="34">
        <v>45916</v>
      </c>
      <c r="K1168" s="34" t="s">
        <v>389</v>
      </c>
      <c r="L1168" s="5" t="s">
        <v>298</v>
      </c>
      <c r="Q1168" s="35"/>
      <c r="R1168" s="35"/>
      <c r="S1168" s="35"/>
      <c r="T1168" s="35"/>
      <c r="U1168" s="35"/>
      <c r="V1168" s="35"/>
      <c r="W1168" s="35"/>
      <c r="X1168" s="35"/>
      <c r="Y1168" s="33">
        <v>105.6</v>
      </c>
      <c r="Z1168" s="35"/>
      <c r="AA1168" s="35"/>
      <c r="AB1168" s="37"/>
      <c r="AC1168" s="37"/>
    </row>
    <row r="1169" spans="2:29" x14ac:dyDescent="0.25">
      <c r="B1169" s="5">
        <v>463</v>
      </c>
      <c r="C1169" s="34">
        <v>45854</v>
      </c>
      <c r="D1169" s="5" t="s">
        <v>333</v>
      </c>
      <c r="E1169" s="36">
        <v>15100</v>
      </c>
      <c r="F1169" s="36">
        <f>E1169-G1169</f>
        <v>0</v>
      </c>
      <c r="G1169" s="36">
        <v>15100</v>
      </c>
      <c r="H1169" s="34">
        <v>45922</v>
      </c>
      <c r="I1169" s="34"/>
      <c r="J1169" s="34">
        <v>45908</v>
      </c>
      <c r="K1169" s="34" t="s">
        <v>313</v>
      </c>
      <c r="L1169" s="34" t="s">
        <v>309</v>
      </c>
      <c r="M1169" s="34" t="s">
        <v>308</v>
      </c>
      <c r="Q1169" s="35"/>
      <c r="R1169" s="35"/>
      <c r="S1169" s="35"/>
      <c r="T1169" s="35"/>
      <c r="U1169" s="35"/>
      <c r="V1169" s="35"/>
      <c r="W1169" s="35"/>
      <c r="X1169" s="33">
        <v>15100</v>
      </c>
      <c r="Y1169" s="35"/>
      <c r="Z1169" s="35"/>
      <c r="AA1169" s="35"/>
    </row>
    <row r="1170" spans="2:29" x14ac:dyDescent="0.25">
      <c r="B1170" s="5">
        <v>545</v>
      </c>
      <c r="C1170" s="34">
        <v>45915</v>
      </c>
      <c r="D1170" s="5" t="s">
        <v>23</v>
      </c>
      <c r="E1170" s="36">
        <v>66.39</v>
      </c>
      <c r="F1170" s="36">
        <f>E1170-G1170</f>
        <v>0</v>
      </c>
      <c r="G1170" s="36">
        <v>66.39</v>
      </c>
      <c r="H1170" s="34">
        <v>45918</v>
      </c>
      <c r="I1170" s="34"/>
      <c r="J1170" s="34">
        <v>45917</v>
      </c>
      <c r="K1170" s="5" t="s">
        <v>382</v>
      </c>
      <c r="L1170" s="5" t="s">
        <v>298</v>
      </c>
      <c r="Q1170" s="35"/>
      <c r="R1170" s="35"/>
      <c r="S1170" s="35"/>
      <c r="T1170" s="35"/>
      <c r="U1170" s="35"/>
      <c r="V1170" s="35"/>
      <c r="W1170" s="35"/>
      <c r="X1170" s="33">
        <v>66.39</v>
      </c>
      <c r="Y1170" s="35"/>
      <c r="Z1170" s="35"/>
      <c r="AA1170" s="35"/>
      <c r="AB1170" s="37"/>
      <c r="AC1170" s="37"/>
    </row>
    <row r="1171" spans="2:29" x14ac:dyDescent="0.25">
      <c r="B1171" s="5">
        <v>535</v>
      </c>
      <c r="C1171" s="34">
        <v>45908</v>
      </c>
      <c r="D1171" s="5" t="s">
        <v>307</v>
      </c>
      <c r="E1171" s="36">
        <v>9.43</v>
      </c>
      <c r="F1171" s="36">
        <f>E1171-G1171</f>
        <v>0</v>
      </c>
      <c r="G1171" s="36">
        <v>9.43</v>
      </c>
      <c r="H1171" s="34">
        <v>45909</v>
      </c>
      <c r="I1171" s="34"/>
      <c r="J1171" s="34">
        <v>45911</v>
      </c>
      <c r="K1171" s="34" t="s">
        <v>424</v>
      </c>
      <c r="L1171" s="34" t="s">
        <v>298</v>
      </c>
      <c r="Q1171" s="35"/>
      <c r="R1171" s="35"/>
      <c r="S1171" s="35"/>
      <c r="T1171" s="35"/>
      <c r="U1171" s="35"/>
      <c r="V1171" s="35"/>
      <c r="W1171" s="35"/>
      <c r="X1171" s="35"/>
      <c r="Y1171" s="35"/>
      <c r="Z1171" s="33">
        <v>9.43</v>
      </c>
      <c r="AA1171" s="35"/>
      <c r="AB1171" s="37"/>
      <c r="AC1171" s="37"/>
    </row>
    <row r="1172" spans="2:29" x14ac:dyDescent="0.25">
      <c r="B1172" s="5">
        <v>528</v>
      </c>
      <c r="C1172" s="34">
        <v>45904</v>
      </c>
      <c r="D1172" s="5" t="s">
        <v>307</v>
      </c>
      <c r="E1172" s="36">
        <v>24.78</v>
      </c>
      <c r="F1172" s="36">
        <f>E1172-G1172</f>
        <v>0</v>
      </c>
      <c r="G1172" s="36">
        <v>24.78</v>
      </c>
      <c r="H1172" s="34">
        <v>45908</v>
      </c>
      <c r="I1172" s="34"/>
      <c r="J1172" s="34">
        <v>45905</v>
      </c>
      <c r="K1172" s="34" t="s">
        <v>460</v>
      </c>
      <c r="L1172" s="34" t="s">
        <v>309</v>
      </c>
      <c r="M1172" s="34" t="s">
        <v>308</v>
      </c>
      <c r="Q1172" s="35"/>
      <c r="R1172" s="35"/>
      <c r="S1172" s="35"/>
      <c r="T1172" s="35"/>
      <c r="U1172" s="35"/>
      <c r="V1172" s="35"/>
      <c r="W1172" s="35"/>
      <c r="X1172" s="35"/>
      <c r="Y1172" s="35"/>
      <c r="Z1172" s="33">
        <v>24.78</v>
      </c>
      <c r="AA1172" s="35"/>
      <c r="AB1172" s="37"/>
      <c r="AC1172" s="37"/>
    </row>
    <row r="1173" spans="2:29" x14ac:dyDescent="0.25">
      <c r="B1173" s="5">
        <v>374</v>
      </c>
      <c r="C1173" s="34">
        <v>45814</v>
      </c>
      <c r="D1173" s="5" t="s">
        <v>473</v>
      </c>
      <c r="E1173" s="36">
        <v>1200</v>
      </c>
      <c r="F1173" s="36">
        <f>E1173-G1173</f>
        <v>0</v>
      </c>
      <c r="G1173" s="36">
        <v>1200</v>
      </c>
      <c r="H1173" s="34">
        <v>45838</v>
      </c>
      <c r="I1173" s="34"/>
      <c r="J1173" s="34">
        <v>45855</v>
      </c>
      <c r="K1173" s="34" t="s">
        <v>472</v>
      </c>
      <c r="L1173" s="34" t="s">
        <v>298</v>
      </c>
      <c r="Q1173" s="35"/>
      <c r="R1173" s="35"/>
      <c r="S1173" s="35"/>
      <c r="T1173" s="35"/>
      <c r="U1173" s="35"/>
      <c r="V1173" s="36">
        <v>1200</v>
      </c>
      <c r="W1173" s="35"/>
      <c r="X1173" s="35"/>
      <c r="Y1173" s="35"/>
      <c r="Z1173" s="35"/>
      <c r="AA1173" s="35"/>
      <c r="AB1173" s="35"/>
      <c r="AC1173" s="35"/>
    </row>
    <row r="1174" spans="2:29" x14ac:dyDescent="0.25">
      <c r="B1174" s="5">
        <v>492</v>
      </c>
      <c r="C1174" s="34">
        <v>45873</v>
      </c>
      <c r="D1174" s="5" t="s">
        <v>470</v>
      </c>
      <c r="E1174" s="36">
        <v>5915</v>
      </c>
      <c r="F1174" s="36">
        <f>E1174-G1174</f>
        <v>0</v>
      </c>
      <c r="G1174" s="36">
        <v>5915</v>
      </c>
      <c r="H1174" s="34">
        <v>45915</v>
      </c>
      <c r="I1174" s="34"/>
      <c r="J1174" s="34">
        <v>45908</v>
      </c>
      <c r="K1174" s="5" t="s">
        <v>471</v>
      </c>
      <c r="L1174" s="34" t="s">
        <v>298</v>
      </c>
      <c r="Q1174" s="35"/>
      <c r="R1174" s="35"/>
      <c r="S1174" s="35"/>
      <c r="T1174" s="35"/>
      <c r="U1174" s="35"/>
      <c r="V1174" s="35"/>
      <c r="W1174" s="35"/>
      <c r="X1174" s="33">
        <v>5915</v>
      </c>
      <c r="Y1174" s="35"/>
      <c r="Z1174" s="35"/>
      <c r="AA1174" s="35"/>
      <c r="AB1174" s="37"/>
      <c r="AC1174" s="37"/>
    </row>
    <row r="1175" spans="2:29" x14ac:dyDescent="0.25">
      <c r="B1175" s="5">
        <v>493</v>
      </c>
      <c r="C1175" s="34">
        <v>45873</v>
      </c>
      <c r="D1175" s="5" t="s">
        <v>470</v>
      </c>
      <c r="E1175" s="36">
        <v>5590</v>
      </c>
      <c r="F1175" s="36">
        <f>E1175-G1175</f>
        <v>0</v>
      </c>
      <c r="G1175" s="36">
        <v>5590</v>
      </c>
      <c r="H1175" s="34">
        <v>45915</v>
      </c>
      <c r="I1175" s="34"/>
      <c r="J1175" s="34">
        <v>45908</v>
      </c>
      <c r="K1175" s="34" t="s">
        <v>469</v>
      </c>
      <c r="L1175" s="34" t="s">
        <v>298</v>
      </c>
      <c r="Q1175" s="35"/>
      <c r="R1175" s="35"/>
      <c r="S1175" s="35"/>
      <c r="T1175" s="35"/>
      <c r="U1175" s="35"/>
      <c r="V1175" s="35"/>
      <c r="W1175" s="35"/>
      <c r="X1175" s="33">
        <v>5590</v>
      </c>
      <c r="Y1175" s="35"/>
      <c r="Z1175" s="35"/>
      <c r="AA1175" s="35"/>
      <c r="AB1175" s="37"/>
      <c r="AC1175" s="37"/>
    </row>
    <row r="1176" spans="2:29" x14ac:dyDescent="0.25">
      <c r="B1176" s="5">
        <v>446</v>
      </c>
      <c r="C1176" s="34">
        <v>45846</v>
      </c>
      <c r="D1176" s="5" t="s">
        <v>190</v>
      </c>
      <c r="E1176" s="36">
        <v>181</v>
      </c>
      <c r="F1176" s="36">
        <f>E1176-G1176</f>
        <v>0</v>
      </c>
      <c r="G1176" s="36">
        <v>181</v>
      </c>
      <c r="H1176" s="34">
        <v>45853</v>
      </c>
      <c r="I1176" s="34"/>
      <c r="J1176" s="34">
        <v>45917</v>
      </c>
      <c r="K1176" s="34" t="s">
        <v>460</v>
      </c>
      <c r="L1176" s="34" t="s">
        <v>303</v>
      </c>
      <c r="Q1176" s="35"/>
      <c r="R1176" s="35"/>
      <c r="S1176" s="35"/>
      <c r="T1176" s="35"/>
      <c r="U1176" s="35"/>
      <c r="V1176" s="33">
        <v>181</v>
      </c>
      <c r="W1176" s="35"/>
      <c r="X1176" s="40">
        <v>69</v>
      </c>
      <c r="Y1176" s="35"/>
      <c r="Z1176" s="35"/>
      <c r="AA1176" s="35"/>
    </row>
    <row r="1177" spans="2:29" x14ac:dyDescent="0.25">
      <c r="B1177" s="5">
        <v>471</v>
      </c>
      <c r="C1177" s="34">
        <v>45859</v>
      </c>
      <c r="D1177" s="5" t="s">
        <v>468</v>
      </c>
      <c r="E1177" s="36">
        <v>5200</v>
      </c>
      <c r="F1177" s="36">
        <f>E1177-G1177</f>
        <v>0</v>
      </c>
      <c r="G1177" s="36">
        <v>5200</v>
      </c>
      <c r="H1177" s="34">
        <v>45874</v>
      </c>
      <c r="I1177" s="34"/>
      <c r="J1177" s="34">
        <v>45900</v>
      </c>
      <c r="K1177" s="34" t="s">
        <v>467</v>
      </c>
      <c r="L1177" s="34" t="s">
        <v>298</v>
      </c>
      <c r="Q1177" s="35"/>
      <c r="R1177" s="35"/>
      <c r="S1177" s="35"/>
      <c r="T1177" s="35"/>
      <c r="U1177" s="35"/>
      <c r="V1177" s="35"/>
      <c r="W1177" s="35"/>
      <c r="X1177" s="33">
        <v>5200</v>
      </c>
      <c r="Y1177" s="35"/>
      <c r="Z1177" s="35"/>
      <c r="AA1177" s="35"/>
    </row>
    <row r="1178" spans="2:29" x14ac:dyDescent="0.25">
      <c r="B1178" s="5">
        <v>502</v>
      </c>
      <c r="C1178" s="34">
        <v>45875</v>
      </c>
      <c r="D1178" s="5" t="s">
        <v>405</v>
      </c>
      <c r="E1178" s="36">
        <v>1250</v>
      </c>
      <c r="F1178" s="36">
        <f>E1178-G1178</f>
        <v>0</v>
      </c>
      <c r="G1178" s="36">
        <v>1250</v>
      </c>
      <c r="H1178" s="34">
        <v>45910</v>
      </c>
      <c r="I1178" s="34"/>
      <c r="J1178" s="34">
        <v>45917</v>
      </c>
      <c r="K1178" s="34" t="s">
        <v>345</v>
      </c>
      <c r="L1178" s="34" t="s">
        <v>298</v>
      </c>
      <c r="M1178" s="34"/>
      <c r="Q1178" s="35"/>
      <c r="R1178" s="35"/>
      <c r="S1178" s="35"/>
      <c r="T1178" s="35"/>
      <c r="U1178" s="35"/>
      <c r="V1178" s="35"/>
      <c r="W1178" s="35"/>
      <c r="X1178" s="33">
        <v>1250</v>
      </c>
      <c r="Y1178" s="35"/>
      <c r="Z1178" s="35"/>
      <c r="AA1178" s="35"/>
      <c r="AB1178" s="37"/>
      <c r="AC1178" s="37"/>
    </row>
    <row r="1179" spans="2:29" x14ac:dyDescent="0.25">
      <c r="B1179" s="5">
        <v>540</v>
      </c>
      <c r="C1179" s="34">
        <v>45910</v>
      </c>
      <c r="D1179" s="5" t="s">
        <v>183</v>
      </c>
      <c r="E1179" s="36">
        <v>937.78</v>
      </c>
      <c r="F1179" s="36">
        <f>E1179-G1179</f>
        <v>0</v>
      </c>
      <c r="G1179" s="36">
        <v>937.78</v>
      </c>
      <c r="H1179" s="34">
        <v>45917</v>
      </c>
      <c r="I1179" s="34"/>
      <c r="J1179" s="34">
        <v>45918</v>
      </c>
      <c r="K1179" s="34" t="s">
        <v>389</v>
      </c>
      <c r="L1179" s="34" t="s">
        <v>298</v>
      </c>
      <c r="Q1179" s="41"/>
      <c r="R1179" s="43"/>
      <c r="S1179" s="42"/>
      <c r="T1179" s="35"/>
      <c r="U1179" s="35"/>
      <c r="V1179" s="35"/>
      <c r="W1179" s="35"/>
      <c r="X1179" s="33">
        <v>937.78</v>
      </c>
      <c r="Y1179" s="35"/>
      <c r="Z1179" s="35"/>
      <c r="AA1179" s="37"/>
      <c r="AB1179" s="37"/>
      <c r="AC1179" s="37"/>
    </row>
    <row r="1180" spans="2:29" x14ac:dyDescent="0.25">
      <c r="B1180" s="5">
        <v>544</v>
      </c>
      <c r="C1180" s="34">
        <v>45915</v>
      </c>
      <c r="D1180" s="5" t="s">
        <v>436</v>
      </c>
      <c r="E1180" s="36">
        <v>500</v>
      </c>
      <c r="F1180" s="36">
        <f>E1180-G1180</f>
        <v>0</v>
      </c>
      <c r="G1180" s="36">
        <v>500</v>
      </c>
      <c r="H1180" s="34">
        <v>45918</v>
      </c>
      <c r="I1180" s="34"/>
      <c r="J1180" s="34">
        <v>45918</v>
      </c>
      <c r="K1180" s="34" t="s">
        <v>424</v>
      </c>
      <c r="L1180" s="34" t="s">
        <v>298</v>
      </c>
      <c r="Q1180" s="41"/>
      <c r="R1180" s="43"/>
      <c r="S1180" s="42"/>
      <c r="T1180" s="35"/>
      <c r="U1180" s="35"/>
      <c r="V1180" s="35"/>
      <c r="W1180" s="35"/>
      <c r="X1180" s="35"/>
      <c r="Y1180" s="33">
        <v>500</v>
      </c>
      <c r="Z1180" s="35"/>
      <c r="AA1180" s="37"/>
      <c r="AB1180" s="37"/>
      <c r="AC1180" s="37"/>
    </row>
    <row r="1181" spans="2:29" x14ac:dyDescent="0.25">
      <c r="B1181" s="5">
        <v>40</v>
      </c>
      <c r="C1181" s="34">
        <v>45677</v>
      </c>
      <c r="D1181" s="5" t="s">
        <v>466</v>
      </c>
      <c r="E1181" s="36">
        <v>23320</v>
      </c>
      <c r="F1181" s="36">
        <f>E1181-G1181</f>
        <v>0</v>
      </c>
      <c r="G1181" s="36">
        <v>23320</v>
      </c>
      <c r="H1181" s="34">
        <v>45807</v>
      </c>
      <c r="I1181" s="34"/>
      <c r="J1181" s="34">
        <v>45905</v>
      </c>
      <c r="K1181" s="5" t="s">
        <v>313</v>
      </c>
      <c r="L1181" s="34" t="s">
        <v>303</v>
      </c>
      <c r="M1181" s="5" t="s">
        <v>350</v>
      </c>
      <c r="N1181" s="53" t="s">
        <v>465</v>
      </c>
      <c r="Q1181" s="41"/>
      <c r="R1181" s="43"/>
      <c r="S1181" s="42"/>
      <c r="T1181" s="35"/>
      <c r="U1181" s="35"/>
      <c r="V1181" s="35"/>
      <c r="W1181" s="51">
        <v>11660</v>
      </c>
      <c r="X1181" s="35"/>
      <c r="Y1181" s="35"/>
      <c r="Z1181" s="35"/>
      <c r="AA1181" s="44"/>
    </row>
    <row r="1182" spans="2:29" x14ac:dyDescent="0.25">
      <c r="B1182" s="5">
        <v>500</v>
      </c>
      <c r="C1182" s="34">
        <v>45875</v>
      </c>
      <c r="D1182" s="5" t="s">
        <v>405</v>
      </c>
      <c r="E1182" s="36">
        <v>9000</v>
      </c>
      <c r="F1182" s="36">
        <f>E1182-G1182</f>
        <v>0</v>
      </c>
      <c r="G1182" s="36">
        <v>9000</v>
      </c>
      <c r="H1182" s="34">
        <v>45912</v>
      </c>
      <c r="I1182" s="34"/>
      <c r="J1182" s="34">
        <v>45911</v>
      </c>
      <c r="K1182" s="34" t="s">
        <v>457</v>
      </c>
      <c r="L1182" s="34" t="s">
        <v>298</v>
      </c>
      <c r="Q1182" s="35"/>
      <c r="R1182" s="35"/>
      <c r="S1182" s="35"/>
      <c r="T1182" s="35"/>
      <c r="U1182" s="35"/>
      <c r="V1182" s="35"/>
      <c r="W1182" s="35"/>
      <c r="X1182" s="36">
        <v>9000</v>
      </c>
      <c r="Y1182" s="35"/>
      <c r="Z1182" s="35"/>
      <c r="AA1182" s="35"/>
    </row>
    <row r="1183" spans="2:29" x14ac:dyDescent="0.25">
      <c r="B1183" s="5">
        <v>48</v>
      </c>
      <c r="C1183" s="34">
        <v>45679</v>
      </c>
      <c r="D1183" s="5" t="s">
        <v>464</v>
      </c>
      <c r="E1183" s="36">
        <v>1830</v>
      </c>
      <c r="F1183" s="36">
        <f>E1183-G1183</f>
        <v>0</v>
      </c>
      <c r="G1183" s="36">
        <v>1830</v>
      </c>
      <c r="H1183" s="34">
        <v>45905</v>
      </c>
      <c r="I1183" s="34"/>
      <c r="J1183" s="34">
        <v>45908</v>
      </c>
      <c r="K1183" s="5" t="s">
        <v>354</v>
      </c>
      <c r="L1183" s="5" t="s">
        <v>309</v>
      </c>
      <c r="Q1183" s="41"/>
      <c r="R1183" s="43"/>
      <c r="S1183" s="42"/>
      <c r="T1183" s="35"/>
      <c r="U1183" s="35"/>
      <c r="V1183" s="35"/>
      <c r="W1183" s="35"/>
      <c r="X1183" s="35"/>
      <c r="Y1183" s="51">
        <v>1830</v>
      </c>
      <c r="Z1183" s="35"/>
      <c r="AA1183" s="37"/>
    </row>
    <row r="1184" spans="2:29" x14ac:dyDescent="0.25">
      <c r="B1184" s="5">
        <v>548</v>
      </c>
      <c r="C1184" s="34">
        <v>45917</v>
      </c>
      <c r="D1184" s="5" t="s">
        <v>371</v>
      </c>
      <c r="E1184" s="36">
        <v>500</v>
      </c>
      <c r="F1184" s="36">
        <f>E1184-G1184</f>
        <v>0</v>
      </c>
      <c r="G1184" s="36">
        <v>500</v>
      </c>
      <c r="H1184" s="34">
        <v>45924</v>
      </c>
      <c r="I1184" s="34"/>
      <c r="J1184" s="34">
        <v>45923</v>
      </c>
      <c r="K1184" s="34" t="s">
        <v>443</v>
      </c>
      <c r="L1184" s="5" t="s">
        <v>298</v>
      </c>
      <c r="Q1184" s="41"/>
      <c r="R1184" s="43"/>
      <c r="S1184" s="42"/>
      <c r="T1184" s="35"/>
      <c r="U1184" s="35"/>
      <c r="V1184" s="35"/>
      <c r="W1184" s="35"/>
      <c r="X1184" s="35"/>
      <c r="Y1184" s="35"/>
      <c r="Z1184" s="33">
        <v>500</v>
      </c>
      <c r="AA1184" s="37"/>
      <c r="AB1184" s="37"/>
      <c r="AC1184" s="37"/>
    </row>
    <row r="1185" spans="2:32" x14ac:dyDescent="0.25">
      <c r="B1185" s="5">
        <v>524</v>
      </c>
      <c r="C1185" s="34">
        <v>45903</v>
      </c>
      <c r="D1185" s="5" t="s">
        <v>173</v>
      </c>
      <c r="E1185" s="36">
        <v>61.23</v>
      </c>
      <c r="F1185" s="36">
        <f>E1185-G1185</f>
        <v>0</v>
      </c>
      <c r="G1185" s="36">
        <v>61.23</v>
      </c>
      <c r="H1185" s="34">
        <v>45903</v>
      </c>
      <c r="I1185" s="34"/>
      <c r="J1185" s="34">
        <v>45917</v>
      </c>
      <c r="K1185" s="34" t="s">
        <v>365</v>
      </c>
      <c r="L1185" s="5" t="s">
        <v>298</v>
      </c>
      <c r="M1185" s="34"/>
      <c r="N1185" s="34"/>
      <c r="O1185" s="34"/>
      <c r="P1185" s="34"/>
      <c r="Q1185" s="35"/>
      <c r="R1185" s="35"/>
      <c r="S1185" s="35"/>
      <c r="T1185" s="35"/>
      <c r="U1185" s="35"/>
      <c r="V1185" s="35"/>
      <c r="W1185" s="40">
        <v>61.23</v>
      </c>
      <c r="X1185" s="35"/>
      <c r="Y1185" s="35"/>
      <c r="Z1185" s="35"/>
    </row>
    <row r="1186" spans="2:32" x14ac:dyDescent="0.25">
      <c r="B1186" s="5">
        <v>547</v>
      </c>
      <c r="C1186" s="34">
        <v>45917</v>
      </c>
      <c r="D1186" s="5" t="s">
        <v>173</v>
      </c>
      <c r="E1186" s="36">
        <v>193.63</v>
      </c>
      <c r="F1186" s="36">
        <f>E1186-G1186</f>
        <v>0</v>
      </c>
      <c r="G1186" s="36">
        <v>193.63</v>
      </c>
      <c r="H1186" s="34">
        <v>45918</v>
      </c>
      <c r="I1186" s="34"/>
      <c r="J1186" s="34">
        <v>45917</v>
      </c>
      <c r="K1186" s="34" t="s">
        <v>443</v>
      </c>
      <c r="L1186" s="34" t="s">
        <v>298</v>
      </c>
      <c r="M1186" s="34"/>
      <c r="N1186" s="34"/>
      <c r="O1186" s="34"/>
      <c r="P1186" s="51"/>
      <c r="Q1186" s="43"/>
      <c r="R1186" s="42"/>
      <c r="S1186" s="35"/>
      <c r="T1186" s="35"/>
      <c r="U1186" s="35"/>
      <c r="V1186" s="35"/>
      <c r="W1186" s="33">
        <v>193.63</v>
      </c>
      <c r="X1186" s="35"/>
      <c r="Y1186" s="35"/>
      <c r="Z1186" s="37"/>
      <c r="AA1186" s="37"/>
      <c r="AB1186" s="37"/>
    </row>
    <row r="1187" spans="2:32" x14ac:dyDescent="0.25">
      <c r="B1187" s="5">
        <v>556</v>
      </c>
      <c r="C1187" s="34">
        <v>45922</v>
      </c>
      <c r="D1187" s="5" t="s">
        <v>368</v>
      </c>
      <c r="E1187" s="36">
        <v>55.16</v>
      </c>
      <c r="F1187" s="36">
        <f>E1187-G1187</f>
        <v>0</v>
      </c>
      <c r="G1187" s="36">
        <v>55.16</v>
      </c>
      <c r="H1187" s="34">
        <v>45925</v>
      </c>
      <c r="I1187" s="34"/>
      <c r="J1187" s="34">
        <v>45924</v>
      </c>
      <c r="K1187" s="34" t="s">
        <v>354</v>
      </c>
      <c r="L1187" s="34" t="s">
        <v>298</v>
      </c>
      <c r="Q1187" s="35"/>
      <c r="R1187" s="35"/>
      <c r="S1187" s="35"/>
      <c r="T1187" s="35"/>
      <c r="U1187" s="35"/>
      <c r="V1187" s="35"/>
      <c r="W1187" s="33">
        <v>55.16</v>
      </c>
      <c r="X1187" s="35"/>
      <c r="Y1187" s="35"/>
      <c r="Z1187" s="35"/>
      <c r="AA1187" s="35"/>
      <c r="AB1187" s="35"/>
      <c r="AC1187" s="35"/>
      <c r="AD1187" s="35"/>
      <c r="AE1187" s="35"/>
    </row>
    <row r="1188" spans="2:32" x14ac:dyDescent="0.25">
      <c r="B1188" s="5">
        <v>275</v>
      </c>
      <c r="C1188" s="34">
        <v>45418</v>
      </c>
      <c r="D1188" s="5" t="s">
        <v>463</v>
      </c>
      <c r="E1188" s="36">
        <v>20000</v>
      </c>
      <c r="F1188" s="36">
        <f>E1188-G1188</f>
        <v>0</v>
      </c>
      <c r="G1188" s="36">
        <v>20000</v>
      </c>
      <c r="H1188" s="34">
        <v>45473</v>
      </c>
      <c r="I1188" s="34"/>
      <c r="J1188" s="34">
        <v>45913</v>
      </c>
      <c r="K1188" s="5" t="s">
        <v>342</v>
      </c>
      <c r="L1188" s="5" t="s">
        <v>298</v>
      </c>
      <c r="N1188" s="45"/>
      <c r="Q1188" s="41"/>
      <c r="R1188" s="43"/>
      <c r="S1188" s="42"/>
      <c r="T1188" s="35"/>
      <c r="U1188" s="35"/>
      <c r="V1188" s="43"/>
      <c r="W1188" s="35"/>
      <c r="X1188" s="51">
        <v>14000</v>
      </c>
      <c r="Y1188" s="35"/>
      <c r="Z1188" s="55">
        <v>8000</v>
      </c>
      <c r="AA1188" s="37"/>
    </row>
    <row r="1189" spans="2:32" x14ac:dyDescent="0.25">
      <c r="B1189" s="5">
        <v>712</v>
      </c>
      <c r="C1189" s="34">
        <v>45656</v>
      </c>
      <c r="D1189" s="5" t="s">
        <v>463</v>
      </c>
      <c r="E1189" s="36">
        <v>10000</v>
      </c>
      <c r="F1189" s="36">
        <f>E1189-G1189</f>
        <v>0</v>
      </c>
      <c r="G1189" s="36">
        <v>10000</v>
      </c>
      <c r="H1189" s="34">
        <v>45777</v>
      </c>
      <c r="I1189" s="34"/>
      <c r="J1189" s="34">
        <v>45913</v>
      </c>
      <c r="K1189" s="5" t="s">
        <v>342</v>
      </c>
      <c r="L1189" s="5" t="s">
        <v>298</v>
      </c>
      <c r="Q1189" s="41"/>
      <c r="R1189" s="43"/>
      <c r="S1189" s="42"/>
      <c r="T1189" s="35"/>
      <c r="U1189" s="35"/>
      <c r="V1189" s="35"/>
      <c r="W1189" s="35"/>
      <c r="X1189" s="40">
        <v>5000</v>
      </c>
      <c r="Y1189" s="35"/>
      <c r="Z1189" s="35"/>
      <c r="AA1189" s="37"/>
    </row>
    <row r="1190" spans="2:32" x14ac:dyDescent="0.25">
      <c r="B1190" s="5">
        <v>321</v>
      </c>
      <c r="C1190" s="34">
        <v>45790</v>
      </c>
      <c r="D1190" s="5" t="s">
        <v>463</v>
      </c>
      <c r="E1190" s="36">
        <v>4200</v>
      </c>
      <c r="F1190" s="36">
        <f>E1190-G1190</f>
        <v>0</v>
      </c>
      <c r="G1190" s="36">
        <v>4200</v>
      </c>
      <c r="H1190" s="34">
        <v>45808</v>
      </c>
      <c r="I1190" s="34"/>
      <c r="J1190" s="34">
        <v>45913</v>
      </c>
      <c r="K1190" s="34" t="s">
        <v>348</v>
      </c>
      <c r="L1190" s="5" t="s">
        <v>298</v>
      </c>
      <c r="Q1190" s="41"/>
      <c r="R1190" s="41"/>
      <c r="S1190" s="49">
        <v>2100</v>
      </c>
      <c r="T1190" s="41"/>
      <c r="U1190" s="35"/>
      <c r="V1190" s="41"/>
      <c r="W1190" s="41"/>
      <c r="X1190" s="41"/>
      <c r="Y1190" s="49">
        <v>2100</v>
      </c>
      <c r="Z1190" s="41"/>
      <c r="AA1190" s="37"/>
    </row>
    <row r="1191" spans="2:32" x14ac:dyDescent="0.25">
      <c r="B1191" s="5">
        <v>324</v>
      </c>
      <c r="C1191" s="34">
        <v>45790</v>
      </c>
      <c r="D1191" s="5" t="s">
        <v>463</v>
      </c>
      <c r="E1191" s="36">
        <v>25000</v>
      </c>
      <c r="F1191" s="36">
        <f>E1191-G1191</f>
        <v>0</v>
      </c>
      <c r="G1191" s="36">
        <v>25000</v>
      </c>
      <c r="H1191" s="34">
        <v>45869</v>
      </c>
      <c r="I1191" s="34"/>
      <c r="J1191" s="34">
        <v>45913</v>
      </c>
      <c r="K1191" s="34" t="s">
        <v>348</v>
      </c>
      <c r="L1191" s="5" t="s">
        <v>298</v>
      </c>
      <c r="Q1191" s="41"/>
      <c r="R1191" s="41"/>
      <c r="S1191" s="49">
        <v>10000</v>
      </c>
      <c r="T1191" s="41"/>
      <c r="U1191" s="41"/>
      <c r="V1191" s="35"/>
      <c r="W1191" s="35"/>
      <c r="X1191" s="51">
        <v>7500</v>
      </c>
      <c r="Y1191" s="51">
        <v>7500</v>
      </c>
      <c r="Z1191" s="41"/>
      <c r="AA1191" s="37"/>
    </row>
    <row r="1192" spans="2:32" x14ac:dyDescent="0.25">
      <c r="B1192" s="5">
        <v>325</v>
      </c>
      <c r="C1192" s="34">
        <v>45790</v>
      </c>
      <c r="D1192" s="5" t="s">
        <v>463</v>
      </c>
      <c r="E1192" s="36">
        <v>5400</v>
      </c>
      <c r="F1192" s="36">
        <f>E1192-G1192</f>
        <v>0</v>
      </c>
      <c r="G1192" s="36">
        <v>5400</v>
      </c>
      <c r="H1192" s="34">
        <v>45869</v>
      </c>
      <c r="I1192" s="34"/>
      <c r="J1192" s="34">
        <v>45913</v>
      </c>
      <c r="K1192" s="34" t="s">
        <v>348</v>
      </c>
      <c r="L1192" s="5" t="s">
        <v>298</v>
      </c>
      <c r="Q1192" s="41"/>
      <c r="R1192" s="41"/>
      <c r="S1192" s="49">
        <v>2700</v>
      </c>
      <c r="T1192" s="41"/>
      <c r="U1192" s="41"/>
      <c r="V1192" s="41"/>
      <c r="W1192" s="41"/>
      <c r="X1192" s="41"/>
      <c r="Y1192" s="49">
        <v>2700</v>
      </c>
      <c r="Z1192" s="41"/>
      <c r="AA1192" s="37"/>
    </row>
    <row r="1193" spans="2:32" x14ac:dyDescent="0.25">
      <c r="B1193" s="5">
        <v>371</v>
      </c>
      <c r="C1193" s="34">
        <v>45813</v>
      </c>
      <c r="D1193" s="5" t="s">
        <v>463</v>
      </c>
      <c r="E1193" s="36">
        <v>10000</v>
      </c>
      <c r="F1193" s="36">
        <f>E1193-G1193</f>
        <v>0</v>
      </c>
      <c r="G1193" s="36">
        <v>10000</v>
      </c>
      <c r="H1193" s="34">
        <v>45838</v>
      </c>
      <c r="I1193" s="34"/>
      <c r="J1193" s="34">
        <v>45913</v>
      </c>
      <c r="K1193" s="34" t="s">
        <v>348</v>
      </c>
      <c r="L1193" s="5" t="s">
        <v>298</v>
      </c>
      <c r="Q1193" s="41"/>
      <c r="R1193" s="41"/>
      <c r="S1193" s="41"/>
      <c r="T1193" s="41"/>
      <c r="U1193" s="41"/>
      <c r="V1193" s="41"/>
      <c r="W1193" s="41"/>
      <c r="X1193" s="40">
        <v>5000</v>
      </c>
      <c r="Y1193" s="40">
        <v>5000</v>
      </c>
      <c r="Z1193" s="41"/>
      <c r="AA1193" s="41"/>
      <c r="AB1193" s="41"/>
      <c r="AC1193" s="41"/>
    </row>
    <row r="1194" spans="2:32" x14ac:dyDescent="0.25">
      <c r="B1194" s="5">
        <v>518</v>
      </c>
      <c r="C1194" s="34">
        <v>45901</v>
      </c>
      <c r="D1194" s="5" t="s">
        <v>157</v>
      </c>
      <c r="E1194" s="36">
        <v>175</v>
      </c>
      <c r="F1194" s="36">
        <f>E1194-G1194</f>
        <v>0</v>
      </c>
      <c r="G1194" s="36">
        <v>175</v>
      </c>
      <c r="H1194" s="34">
        <v>45926</v>
      </c>
      <c r="I1194" s="34"/>
      <c r="J1194" s="34">
        <v>45929</v>
      </c>
      <c r="K1194" s="34" t="s">
        <v>457</v>
      </c>
      <c r="L1194" s="5" t="s">
        <v>309</v>
      </c>
      <c r="M1194" s="5" t="s">
        <v>308</v>
      </c>
      <c r="Q1194" s="35"/>
      <c r="R1194" s="35"/>
      <c r="S1194" s="35"/>
      <c r="T1194" s="35"/>
      <c r="U1194" s="35"/>
      <c r="V1194" s="35"/>
      <c r="W1194" s="35"/>
      <c r="X1194" s="33">
        <v>175</v>
      </c>
      <c r="Y1194" s="35"/>
      <c r="Z1194" s="35"/>
      <c r="AA1194" s="35"/>
      <c r="AB1194" s="37"/>
      <c r="AC1194" s="37"/>
      <c r="AD1194" s="37"/>
      <c r="AE1194" s="37"/>
    </row>
    <row r="1195" spans="2:32" x14ac:dyDescent="0.25">
      <c r="B1195" s="5">
        <v>561</v>
      </c>
      <c r="C1195" s="34">
        <v>45925</v>
      </c>
      <c r="D1195" s="5" t="s">
        <v>23</v>
      </c>
      <c r="E1195" s="36">
        <v>60.67</v>
      </c>
      <c r="F1195" s="36">
        <f>E1195-G1195</f>
        <v>0</v>
      </c>
      <c r="G1195" s="36">
        <v>60.67</v>
      </c>
      <c r="H1195" s="34">
        <v>45930</v>
      </c>
      <c r="I1195" s="34"/>
      <c r="J1195" s="34">
        <v>45930</v>
      </c>
      <c r="K1195" s="34" t="s">
        <v>351</v>
      </c>
      <c r="L1195" s="34" t="s">
        <v>309</v>
      </c>
      <c r="M1195" s="34" t="s">
        <v>308</v>
      </c>
      <c r="Q1195" s="35"/>
      <c r="R1195" s="35"/>
      <c r="S1195" s="35"/>
      <c r="T1195" s="35"/>
      <c r="U1195" s="35"/>
      <c r="V1195" s="35"/>
      <c r="W1195" s="35"/>
      <c r="X1195" s="40">
        <v>60.67</v>
      </c>
      <c r="Y1195" s="35"/>
      <c r="Z1195" s="35"/>
      <c r="AA1195" s="35"/>
      <c r="AB1195" s="35"/>
      <c r="AC1195" s="35"/>
      <c r="AD1195" s="35"/>
      <c r="AE1195" s="35"/>
      <c r="AF1195" s="35"/>
    </row>
    <row r="1196" spans="2:32" x14ac:dyDescent="0.25">
      <c r="B1196" s="5">
        <v>565</v>
      </c>
      <c r="C1196" s="34">
        <v>45925</v>
      </c>
      <c r="D1196" s="5" t="s">
        <v>23</v>
      </c>
      <c r="E1196" s="36">
        <v>1011.56</v>
      </c>
      <c r="F1196" s="36">
        <f>E1196-G1196</f>
        <v>0</v>
      </c>
      <c r="G1196" s="36">
        <v>1011.56</v>
      </c>
      <c r="H1196" s="34">
        <v>45930</v>
      </c>
      <c r="I1196" s="34"/>
      <c r="J1196" s="34">
        <v>45930</v>
      </c>
      <c r="K1196" s="34" t="s">
        <v>382</v>
      </c>
      <c r="L1196" s="34" t="s">
        <v>309</v>
      </c>
      <c r="M1196" s="34" t="s">
        <v>308</v>
      </c>
      <c r="Q1196" s="35"/>
      <c r="R1196" s="35"/>
      <c r="S1196" s="35"/>
      <c r="T1196" s="35"/>
      <c r="U1196" s="35"/>
      <c r="V1196" s="35"/>
      <c r="W1196" s="35"/>
      <c r="X1196" s="33">
        <v>1011.56</v>
      </c>
      <c r="Y1196" s="35"/>
      <c r="Z1196" s="35"/>
      <c r="AA1196" s="35"/>
      <c r="AB1196" s="35"/>
      <c r="AC1196" s="35"/>
      <c r="AD1196" s="35"/>
      <c r="AE1196" s="35"/>
      <c r="AF1196" s="35"/>
    </row>
    <row r="1197" spans="2:32" x14ac:dyDescent="0.25">
      <c r="B1197" s="5">
        <v>564</v>
      </c>
      <c r="C1197" s="34">
        <v>45925</v>
      </c>
      <c r="D1197" s="5" t="s">
        <v>307</v>
      </c>
      <c r="E1197" s="36">
        <v>540.5</v>
      </c>
      <c r="F1197" s="36">
        <f>E1197-G1197</f>
        <v>0</v>
      </c>
      <c r="G1197" s="36">
        <v>540.5</v>
      </c>
      <c r="H1197" s="34">
        <v>45929</v>
      </c>
      <c r="I1197" s="34"/>
      <c r="J1197" s="34">
        <v>45930</v>
      </c>
      <c r="K1197" s="34" t="s">
        <v>351</v>
      </c>
      <c r="L1197" s="5" t="s">
        <v>298</v>
      </c>
      <c r="Q1197" s="35"/>
      <c r="R1197" s="35"/>
      <c r="S1197" s="35"/>
      <c r="T1197" s="35"/>
      <c r="U1197" s="35"/>
      <c r="V1197" s="35"/>
      <c r="W1197" s="35"/>
      <c r="X1197" s="33">
        <v>540.5</v>
      </c>
      <c r="Y1197" s="35"/>
      <c r="Z1197" s="35"/>
      <c r="AA1197" s="35"/>
      <c r="AB1197" s="35"/>
      <c r="AC1197" s="35"/>
      <c r="AD1197" s="35"/>
      <c r="AE1197" s="35"/>
      <c r="AF1197" s="35"/>
    </row>
    <row r="1198" spans="2:32" x14ac:dyDescent="0.25">
      <c r="B1198" s="5">
        <v>569</v>
      </c>
      <c r="C1198" s="34">
        <v>45929</v>
      </c>
      <c r="D1198" s="5" t="s">
        <v>462</v>
      </c>
      <c r="E1198" s="36">
        <v>1200</v>
      </c>
      <c r="F1198" s="36">
        <f>E1198-G1198</f>
        <v>0</v>
      </c>
      <c r="G1198" s="36">
        <v>1200</v>
      </c>
      <c r="H1198" s="34">
        <v>45930</v>
      </c>
      <c r="I1198" s="34"/>
      <c r="J1198" s="34">
        <v>45930</v>
      </c>
      <c r="K1198" s="34" t="s">
        <v>342</v>
      </c>
      <c r="L1198" s="34" t="s">
        <v>298</v>
      </c>
      <c r="Q1198" s="35"/>
      <c r="R1198" s="35"/>
      <c r="S1198" s="35"/>
      <c r="T1198" s="35"/>
      <c r="U1198" s="35"/>
      <c r="V1198" s="35"/>
      <c r="W1198" s="35"/>
      <c r="X1198" s="33">
        <v>1200</v>
      </c>
      <c r="Y1198" s="35"/>
      <c r="Z1198" s="35"/>
      <c r="AA1198" s="35"/>
      <c r="AB1198" s="35"/>
      <c r="AC1198" s="35"/>
      <c r="AD1198" s="35"/>
      <c r="AE1198" s="35"/>
      <c r="AF1198" s="35"/>
    </row>
    <row r="1199" spans="2:32" x14ac:dyDescent="0.25">
      <c r="B1199" s="5">
        <v>526</v>
      </c>
      <c r="C1199" s="34">
        <v>45904</v>
      </c>
      <c r="D1199" s="5" t="s">
        <v>349</v>
      </c>
      <c r="E1199" s="36">
        <v>2290</v>
      </c>
      <c r="F1199" s="36">
        <f>E1199-G1199</f>
        <v>0</v>
      </c>
      <c r="G1199" s="36">
        <v>2290</v>
      </c>
      <c r="H1199" s="34">
        <v>45930</v>
      </c>
      <c r="I1199" s="34"/>
      <c r="J1199" s="34">
        <v>45930</v>
      </c>
      <c r="K1199" s="34" t="s">
        <v>396</v>
      </c>
      <c r="L1199" s="34" t="s">
        <v>298</v>
      </c>
      <c r="M1199" s="34"/>
      <c r="N1199" s="39" t="s">
        <v>461</v>
      </c>
      <c r="Q1199" s="35"/>
      <c r="R1199" s="35"/>
      <c r="S1199" s="35"/>
      <c r="T1199" s="35"/>
      <c r="U1199" s="35"/>
      <c r="V1199" s="35"/>
      <c r="W1199" s="33">
        <v>2290</v>
      </c>
      <c r="X1199" s="35"/>
      <c r="Y1199" s="35"/>
      <c r="Z1199" s="35"/>
      <c r="AA1199" s="35"/>
      <c r="AB1199" s="37"/>
      <c r="AC1199" s="37"/>
      <c r="AD1199" s="37"/>
      <c r="AE1199" s="37"/>
      <c r="AF1199" s="35"/>
    </row>
    <row r="1200" spans="2:32" x14ac:dyDescent="0.25">
      <c r="B1200" s="5">
        <v>559</v>
      </c>
      <c r="C1200" s="34">
        <v>45925</v>
      </c>
      <c r="D1200" s="5" t="s">
        <v>23</v>
      </c>
      <c r="E1200" s="36">
        <v>560.67999999999995</v>
      </c>
      <c r="F1200" s="36">
        <f>E1200-G1200</f>
        <v>0</v>
      </c>
      <c r="G1200" s="36">
        <v>560.67999999999995</v>
      </c>
      <c r="H1200" s="34">
        <v>45930</v>
      </c>
      <c r="I1200" s="34"/>
      <c r="J1200" s="34">
        <v>45931</v>
      </c>
      <c r="K1200" s="34" t="s">
        <v>318</v>
      </c>
      <c r="L1200" s="34" t="s">
        <v>309</v>
      </c>
      <c r="M1200" s="34" t="s">
        <v>308</v>
      </c>
      <c r="Q1200" s="35"/>
      <c r="R1200" s="35"/>
      <c r="S1200" s="35"/>
      <c r="T1200" s="35"/>
      <c r="U1200" s="35"/>
      <c r="V1200" s="35"/>
      <c r="W1200" s="35"/>
      <c r="X1200" s="33">
        <v>560.67999999999995</v>
      </c>
      <c r="Y1200" s="35"/>
      <c r="Z1200" s="35"/>
      <c r="AA1200" s="35"/>
      <c r="AB1200" s="35"/>
      <c r="AC1200" s="35"/>
      <c r="AD1200" s="35"/>
      <c r="AE1200" s="35"/>
      <c r="AF1200" s="35"/>
    </row>
    <row r="1201" spans="2:32" x14ac:dyDescent="0.25">
      <c r="B1201" s="5">
        <v>567</v>
      </c>
      <c r="C1201" s="34">
        <v>45925</v>
      </c>
      <c r="D1201" s="5" t="s">
        <v>328</v>
      </c>
      <c r="E1201" s="36">
        <v>152.16</v>
      </c>
      <c r="F1201" s="36">
        <f>E1201-G1201</f>
        <v>0</v>
      </c>
      <c r="G1201" s="36">
        <v>152.16</v>
      </c>
      <c r="H1201" s="34">
        <v>45930</v>
      </c>
      <c r="I1201" s="34"/>
      <c r="J1201" s="34">
        <v>45931</v>
      </c>
      <c r="K1201" s="34" t="s">
        <v>439</v>
      </c>
      <c r="L1201" s="34" t="s">
        <v>298</v>
      </c>
      <c r="Q1201" s="35"/>
      <c r="R1201" s="35"/>
      <c r="S1201" s="35"/>
      <c r="T1201" s="35"/>
      <c r="U1201" s="35"/>
      <c r="V1201" s="35"/>
      <c r="W1201" s="35"/>
      <c r="X1201" s="33">
        <v>152.16</v>
      </c>
      <c r="Y1201" s="35"/>
      <c r="Z1201" s="35"/>
      <c r="AA1201" s="35"/>
      <c r="AB1201" s="35"/>
      <c r="AC1201" s="35"/>
      <c r="AD1201" s="35"/>
      <c r="AE1201" s="35"/>
      <c r="AF1201" s="35"/>
    </row>
    <row r="1202" spans="2:32" x14ac:dyDescent="0.25">
      <c r="B1202" s="5">
        <v>570</v>
      </c>
      <c r="C1202" s="34">
        <v>45929</v>
      </c>
      <c r="D1202" s="5" t="s">
        <v>321</v>
      </c>
      <c r="E1202" s="36">
        <v>1094.3800000000001</v>
      </c>
      <c r="F1202" s="36">
        <f>E1202-G1202</f>
        <v>0</v>
      </c>
      <c r="G1202" s="36">
        <v>1094.3800000000001</v>
      </c>
      <c r="H1202" s="34">
        <v>45932</v>
      </c>
      <c r="I1202" s="34"/>
      <c r="J1202" s="34">
        <v>45933</v>
      </c>
      <c r="K1202" s="34" t="s">
        <v>318</v>
      </c>
      <c r="L1202" s="34" t="s">
        <v>309</v>
      </c>
      <c r="M1202" s="34" t="s">
        <v>308</v>
      </c>
      <c r="Q1202" s="35"/>
      <c r="R1202" s="35"/>
      <c r="S1202" s="35"/>
      <c r="T1202" s="35"/>
      <c r="U1202" s="35"/>
      <c r="V1202" s="35"/>
      <c r="W1202" s="35"/>
      <c r="X1202" s="33">
        <v>1094.3800000000001</v>
      </c>
      <c r="Y1202" s="35"/>
      <c r="Z1202" s="35"/>
      <c r="AA1202" s="35"/>
      <c r="AB1202" s="35"/>
      <c r="AC1202" s="35"/>
      <c r="AD1202" s="35"/>
      <c r="AE1202" s="35"/>
      <c r="AF1202" s="35"/>
    </row>
    <row r="1203" spans="2:32" x14ac:dyDescent="0.25">
      <c r="B1203" s="5">
        <v>481</v>
      </c>
      <c r="C1203" s="34">
        <v>45866</v>
      </c>
      <c r="D1203" s="5" t="s">
        <v>335</v>
      </c>
      <c r="E1203" s="36">
        <v>5225</v>
      </c>
      <c r="F1203" s="36">
        <f>E1203-G1203</f>
        <v>0</v>
      </c>
      <c r="G1203" s="36">
        <v>5225</v>
      </c>
      <c r="H1203" s="34">
        <v>45930</v>
      </c>
      <c r="I1203" s="34"/>
      <c r="J1203" s="34">
        <v>45933</v>
      </c>
      <c r="K1203" s="34" t="s">
        <v>460</v>
      </c>
      <c r="L1203" s="34" t="s">
        <v>298</v>
      </c>
      <c r="M1203" s="34"/>
      <c r="N1203" s="39" t="s">
        <v>459</v>
      </c>
      <c r="Q1203" s="35"/>
      <c r="R1203" s="35"/>
      <c r="S1203" s="35"/>
      <c r="T1203" s="35"/>
      <c r="U1203" s="35"/>
      <c r="V1203" s="35"/>
      <c r="W1203" s="33">
        <v>5225</v>
      </c>
      <c r="X1203" s="35"/>
      <c r="Y1203" s="35"/>
      <c r="Z1203" s="35"/>
      <c r="AA1203" s="35"/>
      <c r="AB1203" s="37"/>
      <c r="AC1203" s="37"/>
      <c r="AD1203" s="37"/>
      <c r="AE1203" s="37"/>
      <c r="AF1203" s="37"/>
    </row>
    <row r="1204" spans="2:32" x14ac:dyDescent="0.25">
      <c r="B1204" s="5">
        <v>515</v>
      </c>
      <c r="C1204" s="34">
        <v>45897</v>
      </c>
      <c r="D1204" s="5" t="s">
        <v>458</v>
      </c>
      <c r="E1204" s="36">
        <v>363</v>
      </c>
      <c r="F1204" s="36">
        <f>E1204-G1204</f>
        <v>0</v>
      </c>
      <c r="G1204" s="36">
        <v>363</v>
      </c>
      <c r="H1204" s="34">
        <v>45925</v>
      </c>
      <c r="I1204" s="34"/>
      <c r="J1204" s="34">
        <v>45933</v>
      </c>
      <c r="K1204" s="34" t="s">
        <v>457</v>
      </c>
      <c r="L1204" s="34" t="s">
        <v>298</v>
      </c>
      <c r="M1204" s="34"/>
      <c r="N1204" s="39" t="s">
        <v>456</v>
      </c>
      <c r="Q1204" s="35"/>
      <c r="R1204" s="35"/>
      <c r="S1204" s="35"/>
      <c r="T1204" s="35"/>
      <c r="U1204" s="35"/>
      <c r="V1204" s="35"/>
      <c r="W1204" s="35"/>
      <c r="X1204" s="33">
        <v>363</v>
      </c>
      <c r="Y1204" s="35"/>
      <c r="Z1204" s="35"/>
      <c r="AA1204" s="35"/>
      <c r="AB1204" s="37"/>
      <c r="AC1204" s="37"/>
      <c r="AD1204" s="37"/>
      <c r="AE1204" s="37"/>
      <c r="AF1204" s="35"/>
    </row>
    <row r="1205" spans="2:32" x14ac:dyDescent="0.25">
      <c r="B1205" s="5">
        <v>557</v>
      </c>
      <c r="C1205" s="34">
        <v>45923</v>
      </c>
      <c r="D1205" s="5" t="s">
        <v>175</v>
      </c>
      <c r="E1205" s="36">
        <v>120</v>
      </c>
      <c r="F1205" s="36">
        <f>E1205-G1205</f>
        <v>0</v>
      </c>
      <c r="G1205" s="36">
        <v>120</v>
      </c>
      <c r="H1205" s="34">
        <v>45923</v>
      </c>
      <c r="I1205" s="34"/>
      <c r="J1205" s="34">
        <v>45930</v>
      </c>
      <c r="K1205" s="34" t="s">
        <v>424</v>
      </c>
      <c r="L1205" s="34" t="s">
        <v>298</v>
      </c>
      <c r="M1205" s="34"/>
      <c r="N1205" s="39" t="s">
        <v>444</v>
      </c>
      <c r="Q1205" s="35"/>
      <c r="R1205" s="35"/>
      <c r="S1205" s="35"/>
      <c r="T1205" s="35"/>
      <c r="U1205" s="35"/>
      <c r="V1205" s="35"/>
      <c r="W1205" s="35"/>
      <c r="X1205" s="33">
        <v>120</v>
      </c>
      <c r="Y1205" s="35"/>
      <c r="Z1205" s="35"/>
      <c r="AA1205" s="35"/>
      <c r="AB1205" s="35"/>
      <c r="AC1205" s="35"/>
      <c r="AD1205" s="35"/>
      <c r="AE1205" s="35"/>
      <c r="AF1205" s="37"/>
    </row>
    <row r="1206" spans="2:32" x14ac:dyDescent="0.25">
      <c r="B1206" s="5">
        <v>566</v>
      </c>
      <c r="C1206" s="34">
        <v>45925</v>
      </c>
      <c r="D1206" s="5" t="s">
        <v>184</v>
      </c>
      <c r="E1206" s="36">
        <v>390</v>
      </c>
      <c r="F1206" s="36">
        <f>E1206-G1206</f>
        <v>0</v>
      </c>
      <c r="G1206" s="36">
        <v>390</v>
      </c>
      <c r="H1206" s="34">
        <v>45937</v>
      </c>
      <c r="I1206" s="34"/>
      <c r="J1206" s="34">
        <v>45939</v>
      </c>
      <c r="K1206" s="5" t="s">
        <v>345</v>
      </c>
      <c r="L1206" s="5" t="s">
        <v>298</v>
      </c>
      <c r="Q1206" s="35"/>
      <c r="R1206" s="35"/>
      <c r="S1206" s="35"/>
      <c r="T1206" s="35"/>
      <c r="U1206" s="35"/>
      <c r="V1206" s="35"/>
      <c r="W1206" s="35"/>
      <c r="X1206" s="33">
        <v>390</v>
      </c>
      <c r="Y1206" s="35"/>
      <c r="Z1206" s="35"/>
      <c r="AA1206" s="35"/>
      <c r="AB1206" s="35"/>
      <c r="AC1206" s="35"/>
      <c r="AD1206" s="35"/>
      <c r="AE1206" s="35"/>
      <c r="AF1206" s="35"/>
    </row>
    <row r="1207" spans="2:32" x14ac:dyDescent="0.25">
      <c r="B1207" s="5">
        <v>552</v>
      </c>
      <c r="C1207" s="34">
        <v>45918</v>
      </c>
      <c r="D1207" s="5" t="s">
        <v>356</v>
      </c>
      <c r="E1207" s="36">
        <v>1588.33</v>
      </c>
      <c r="F1207" s="36">
        <f>E1207-G1207</f>
        <v>0</v>
      </c>
      <c r="G1207" s="36">
        <v>1588.33</v>
      </c>
      <c r="H1207" s="34">
        <v>45930</v>
      </c>
      <c r="I1207" s="34"/>
      <c r="J1207" s="34">
        <v>45939</v>
      </c>
      <c r="K1207" s="34" t="s">
        <v>351</v>
      </c>
      <c r="L1207" s="5" t="s">
        <v>298</v>
      </c>
      <c r="N1207" s="39" t="s">
        <v>455</v>
      </c>
      <c r="Q1207" s="35"/>
      <c r="R1207" s="35"/>
      <c r="S1207" s="35"/>
      <c r="T1207" s="35"/>
      <c r="U1207" s="35"/>
      <c r="V1207" s="35"/>
      <c r="W1207" s="33">
        <v>1588.33</v>
      </c>
      <c r="X1207" s="35"/>
      <c r="Y1207" s="35"/>
      <c r="Z1207" s="35"/>
      <c r="AA1207" s="35"/>
      <c r="AB1207" s="35"/>
      <c r="AC1207" s="35"/>
      <c r="AD1207" s="35"/>
      <c r="AE1207" s="35"/>
      <c r="AF1207" s="35"/>
    </row>
    <row r="1208" spans="2:32" x14ac:dyDescent="0.25">
      <c r="B1208" s="5">
        <v>563</v>
      </c>
      <c r="C1208" s="34">
        <v>45925</v>
      </c>
      <c r="D1208" s="5" t="s">
        <v>193</v>
      </c>
      <c r="E1208" s="36">
        <v>14519.2</v>
      </c>
      <c r="F1208" s="36">
        <f>E1208-G1208</f>
        <v>0</v>
      </c>
      <c r="G1208" s="36">
        <v>14519.2</v>
      </c>
      <c r="H1208" s="34">
        <v>45933</v>
      </c>
      <c r="I1208" s="34"/>
      <c r="J1208" s="34">
        <v>45939</v>
      </c>
      <c r="K1208" s="34" t="s">
        <v>351</v>
      </c>
      <c r="L1208" s="34" t="s">
        <v>298</v>
      </c>
      <c r="Q1208" s="41"/>
      <c r="R1208" s="43"/>
      <c r="S1208" s="42"/>
      <c r="T1208" s="35"/>
      <c r="U1208" s="35"/>
      <c r="V1208" s="35"/>
      <c r="W1208" s="35"/>
      <c r="X1208" s="35"/>
      <c r="Y1208" s="33">
        <v>14519.2</v>
      </c>
      <c r="Z1208" s="35"/>
      <c r="AA1208" s="37"/>
      <c r="AB1208" s="37"/>
      <c r="AC1208" s="37"/>
      <c r="AD1208" s="37"/>
      <c r="AE1208" s="37"/>
      <c r="AF1208" s="37"/>
    </row>
    <row r="1209" spans="2:32" x14ac:dyDescent="0.25">
      <c r="B1209" s="5">
        <v>506</v>
      </c>
      <c r="C1209" s="34">
        <v>45876</v>
      </c>
      <c r="D1209" s="5" t="s">
        <v>426</v>
      </c>
      <c r="E1209" s="36">
        <v>3750</v>
      </c>
      <c r="F1209" s="36">
        <f>E1209-G1209</f>
        <v>0</v>
      </c>
      <c r="G1209" s="36">
        <v>3750</v>
      </c>
      <c r="H1209" s="34">
        <v>45961</v>
      </c>
      <c r="I1209" s="34"/>
      <c r="J1209" s="34">
        <v>45930</v>
      </c>
      <c r="K1209" s="34" t="s">
        <v>348</v>
      </c>
      <c r="L1209" s="34" t="s">
        <v>298</v>
      </c>
      <c r="Q1209" s="35"/>
      <c r="R1209" s="35"/>
      <c r="S1209" s="35"/>
      <c r="T1209" s="35"/>
      <c r="U1209" s="35"/>
      <c r="V1209" s="35"/>
      <c r="W1209" s="35"/>
      <c r="X1209" s="33">
        <v>3750</v>
      </c>
      <c r="Z1209" s="35"/>
      <c r="AA1209" s="35"/>
      <c r="AB1209" s="37"/>
      <c r="AC1209" s="37"/>
      <c r="AD1209" s="37"/>
      <c r="AE1209" s="37"/>
      <c r="AF1209" s="35"/>
    </row>
    <row r="1210" spans="2:32" x14ac:dyDescent="0.25">
      <c r="B1210" s="5">
        <v>507</v>
      </c>
      <c r="C1210" s="34">
        <v>45876</v>
      </c>
      <c r="D1210" s="5" t="s">
        <v>426</v>
      </c>
      <c r="E1210" s="36">
        <v>1750</v>
      </c>
      <c r="F1210" s="36">
        <f>E1210-G1210</f>
        <v>0</v>
      </c>
      <c r="G1210" s="36">
        <v>1750</v>
      </c>
      <c r="H1210" s="34">
        <v>45961</v>
      </c>
      <c r="I1210" s="34"/>
      <c r="J1210" s="34">
        <v>45930</v>
      </c>
      <c r="K1210" s="34" t="s">
        <v>348</v>
      </c>
      <c r="L1210" s="34" t="s">
        <v>298</v>
      </c>
      <c r="Q1210" s="35"/>
      <c r="R1210" s="35"/>
      <c r="S1210" s="35"/>
      <c r="T1210" s="35"/>
      <c r="U1210" s="35"/>
      <c r="V1210" s="35"/>
      <c r="W1210" s="35"/>
      <c r="X1210" s="33">
        <v>1750</v>
      </c>
      <c r="Z1210" s="35"/>
      <c r="AA1210" s="35"/>
      <c r="AB1210" s="37"/>
      <c r="AC1210" s="37"/>
      <c r="AD1210" s="37"/>
      <c r="AE1210" s="37"/>
      <c r="AF1210" s="35"/>
    </row>
    <row r="1211" spans="2:32" x14ac:dyDescent="0.25">
      <c r="B1211" s="5">
        <v>601</v>
      </c>
      <c r="C1211" s="34">
        <v>45938</v>
      </c>
      <c r="D1211" s="5" t="s">
        <v>23</v>
      </c>
      <c r="E1211" s="36">
        <v>288.2</v>
      </c>
      <c r="F1211" s="36">
        <f>E1211-G1211</f>
        <v>0</v>
      </c>
      <c r="G1211" s="36">
        <v>288.2</v>
      </c>
      <c r="H1211" s="34">
        <v>45943</v>
      </c>
      <c r="I1211" s="34"/>
      <c r="J1211" s="34">
        <v>45940</v>
      </c>
      <c r="K1211" s="34" t="s">
        <v>351</v>
      </c>
      <c r="L1211" s="34" t="s">
        <v>298</v>
      </c>
      <c r="Q1211" s="35"/>
      <c r="R1211" s="35"/>
      <c r="S1211" s="35"/>
      <c r="T1211" s="35"/>
      <c r="U1211" s="35"/>
      <c r="V1211" s="35"/>
      <c r="W1211" s="35"/>
      <c r="X1211" s="35"/>
      <c r="Y1211" s="33">
        <v>288.2</v>
      </c>
      <c r="Z1211" s="35"/>
      <c r="AA1211" s="35"/>
      <c r="AB1211" s="35"/>
      <c r="AC1211" s="35"/>
      <c r="AD1211" s="35"/>
      <c r="AE1211" s="35"/>
      <c r="AF1211" s="35"/>
    </row>
    <row r="1212" spans="2:32" x14ac:dyDescent="0.25">
      <c r="B1212" s="5">
        <v>558</v>
      </c>
      <c r="C1212" s="34">
        <v>45923</v>
      </c>
      <c r="D1212" s="5" t="s">
        <v>371</v>
      </c>
      <c r="E1212" s="36">
        <v>3934</v>
      </c>
      <c r="F1212" s="36">
        <f>E1212-G1212</f>
        <v>0</v>
      </c>
      <c r="G1212" s="36">
        <v>3934</v>
      </c>
      <c r="H1212" s="34">
        <v>45951</v>
      </c>
      <c r="I1212" s="34"/>
      <c r="J1212" s="34">
        <v>45940</v>
      </c>
      <c r="K1212" s="34" t="s">
        <v>348</v>
      </c>
      <c r="L1212" s="34" t="s">
        <v>298</v>
      </c>
      <c r="Q1212" s="35"/>
      <c r="R1212" s="35"/>
      <c r="S1212" s="35"/>
      <c r="T1212" s="35"/>
      <c r="U1212" s="35"/>
      <c r="V1212" s="35"/>
      <c r="W1212" s="35"/>
      <c r="X1212" s="35"/>
      <c r="Y1212" s="35"/>
      <c r="Z1212" s="33">
        <v>3934</v>
      </c>
      <c r="AA1212" s="35"/>
      <c r="AB1212" s="35"/>
      <c r="AC1212" s="35"/>
      <c r="AD1212" s="35"/>
      <c r="AE1212" s="35"/>
      <c r="AF1212" s="35"/>
    </row>
    <row r="1213" spans="2:32" x14ac:dyDescent="0.25">
      <c r="B1213" s="63">
        <v>560</v>
      </c>
      <c r="C1213" s="61">
        <v>45925</v>
      </c>
      <c r="D1213" s="63" t="s">
        <v>284</v>
      </c>
      <c r="E1213" s="62">
        <v>289.39999999999998</v>
      </c>
      <c r="F1213" s="62">
        <f>E1213-G1213</f>
        <v>0</v>
      </c>
      <c r="G1213" s="62">
        <v>289.39999999999998</v>
      </c>
      <c r="H1213" s="61">
        <v>45930</v>
      </c>
      <c r="I1213" s="61"/>
      <c r="J1213" s="34">
        <v>45940</v>
      </c>
      <c r="K1213" s="61" t="s">
        <v>318</v>
      </c>
      <c r="L1213" s="61" t="s">
        <v>298</v>
      </c>
      <c r="M1213" s="61"/>
      <c r="N1213" s="60" t="s">
        <v>355</v>
      </c>
      <c r="Q1213" s="35"/>
      <c r="R1213" s="35"/>
      <c r="S1213" s="35"/>
      <c r="T1213" s="35"/>
      <c r="U1213" s="35"/>
      <c r="V1213" s="35"/>
      <c r="W1213" s="33">
        <v>289.39999999999998</v>
      </c>
      <c r="X1213" s="35"/>
      <c r="Y1213" s="34"/>
      <c r="Z1213" s="35"/>
      <c r="AA1213" s="35"/>
      <c r="AB1213" s="35"/>
      <c r="AC1213" s="35"/>
      <c r="AD1213" s="35"/>
      <c r="AE1213" s="35"/>
      <c r="AF1213" s="35"/>
    </row>
    <row r="1214" spans="2:32" x14ac:dyDescent="0.25">
      <c r="B1214" s="5">
        <v>393</v>
      </c>
      <c r="C1214" s="34">
        <v>45821</v>
      </c>
      <c r="D1214" s="5" t="s">
        <v>357</v>
      </c>
      <c r="E1214" s="36">
        <v>68.8</v>
      </c>
      <c r="F1214" s="36">
        <f>E1214-G1214</f>
        <v>0</v>
      </c>
      <c r="G1214" s="36">
        <v>68.8</v>
      </c>
      <c r="H1214" s="34">
        <v>45826</v>
      </c>
      <c r="I1214" s="34"/>
      <c r="J1214" s="34">
        <v>45940</v>
      </c>
      <c r="K1214" s="34" t="s">
        <v>367</v>
      </c>
      <c r="L1214" s="34" t="s">
        <v>303</v>
      </c>
      <c r="Q1214" s="41"/>
      <c r="R1214" s="43"/>
      <c r="S1214" s="42"/>
      <c r="T1214" s="35"/>
      <c r="U1214" s="33">
        <v>38.799999999999997</v>
      </c>
      <c r="V1214" s="35"/>
      <c r="W1214" s="35"/>
      <c r="X1214" s="51">
        <v>10</v>
      </c>
      <c r="Y1214" s="35"/>
      <c r="Z1214" s="35"/>
      <c r="AA1214" s="37"/>
      <c r="AB1214" s="37"/>
      <c r="AC1214" s="37"/>
      <c r="AD1214" s="37"/>
      <c r="AE1214" s="37"/>
      <c r="AF1214" s="37"/>
    </row>
    <row r="1215" spans="2:32" x14ac:dyDescent="0.25">
      <c r="B1215" s="5">
        <v>603</v>
      </c>
      <c r="C1215" s="34">
        <v>45938</v>
      </c>
      <c r="D1215" s="5" t="s">
        <v>307</v>
      </c>
      <c r="E1215" s="36">
        <v>38.6</v>
      </c>
      <c r="F1215" s="36">
        <f>E1215-G1215</f>
        <v>0</v>
      </c>
      <c r="G1215" s="36">
        <v>38.6</v>
      </c>
      <c r="H1215" s="34">
        <v>45943</v>
      </c>
      <c r="I1215" s="34"/>
      <c r="J1215" s="34">
        <v>45940</v>
      </c>
      <c r="K1215" s="34" t="s">
        <v>389</v>
      </c>
      <c r="L1215" s="34" t="s">
        <v>298</v>
      </c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3">
        <v>38.6</v>
      </c>
      <c r="AB1215" s="35"/>
      <c r="AC1215" s="35"/>
      <c r="AD1215" s="35"/>
      <c r="AE1215" s="35"/>
      <c r="AF1215" s="35"/>
    </row>
    <row r="1216" spans="2:32" x14ac:dyDescent="0.25">
      <c r="B1216" s="5">
        <v>593</v>
      </c>
      <c r="C1216" s="34">
        <v>45938</v>
      </c>
      <c r="D1216" s="5" t="s">
        <v>375</v>
      </c>
      <c r="E1216" s="36">
        <v>77.599999999999994</v>
      </c>
      <c r="F1216" s="36">
        <f>E1216-G1216</f>
        <v>0</v>
      </c>
      <c r="G1216" s="36">
        <v>77.599999999999994</v>
      </c>
      <c r="H1216" s="34">
        <v>45940</v>
      </c>
      <c r="I1216" s="34"/>
      <c r="J1216" s="34">
        <v>45940</v>
      </c>
      <c r="K1216" s="34" t="s">
        <v>454</v>
      </c>
      <c r="L1216" s="34" t="s">
        <v>298</v>
      </c>
      <c r="Q1216" s="35"/>
      <c r="R1216" s="35"/>
      <c r="S1216" s="35"/>
      <c r="T1216" s="35"/>
      <c r="U1216" s="35"/>
      <c r="V1216" s="35"/>
      <c r="W1216" s="35"/>
      <c r="X1216" s="35"/>
      <c r="Y1216" s="33">
        <v>77.599999999999994</v>
      </c>
      <c r="Z1216" s="35"/>
      <c r="AA1216" s="35"/>
      <c r="AB1216" s="35"/>
      <c r="AC1216" s="35"/>
      <c r="AD1216" s="35"/>
      <c r="AE1216" s="35"/>
      <c r="AF1216" s="35"/>
    </row>
    <row r="1217" spans="2:34" x14ac:dyDescent="0.25">
      <c r="B1217" s="5">
        <v>595</v>
      </c>
      <c r="C1217" s="34">
        <v>45938</v>
      </c>
      <c r="D1217" s="5" t="s">
        <v>321</v>
      </c>
      <c r="E1217" s="36">
        <v>4975.68</v>
      </c>
      <c r="F1217" s="36">
        <f>E1217-G1217</f>
        <v>0</v>
      </c>
      <c r="G1217" s="36">
        <v>4975.68</v>
      </c>
      <c r="H1217" s="34">
        <v>45943</v>
      </c>
      <c r="I1217" s="34"/>
      <c r="J1217" s="34">
        <v>45944</v>
      </c>
      <c r="K1217" s="34" t="s">
        <v>351</v>
      </c>
      <c r="L1217" s="34" t="s">
        <v>298</v>
      </c>
      <c r="Q1217" s="35"/>
      <c r="R1217" s="35"/>
      <c r="S1217" s="35"/>
      <c r="T1217" s="35"/>
      <c r="U1217" s="35"/>
      <c r="V1217" s="35"/>
      <c r="W1217" s="35"/>
      <c r="X1217" s="35"/>
      <c r="Y1217" s="33">
        <v>4975.68</v>
      </c>
      <c r="Z1217" s="35"/>
      <c r="AA1217" s="35"/>
      <c r="AB1217" s="35"/>
      <c r="AC1217" s="35"/>
      <c r="AD1217" s="35"/>
      <c r="AE1217" s="35"/>
      <c r="AF1217" s="35"/>
    </row>
    <row r="1218" spans="2:34" x14ac:dyDescent="0.25">
      <c r="B1218" s="5">
        <v>533</v>
      </c>
      <c r="C1218" s="34">
        <v>45908</v>
      </c>
      <c r="D1218" s="5" t="s">
        <v>247</v>
      </c>
      <c r="E1218" s="36">
        <v>1795.97</v>
      </c>
      <c r="F1218" s="36">
        <f>E1218-G1218</f>
        <v>0</v>
      </c>
      <c r="G1218" s="36">
        <v>1795.97</v>
      </c>
      <c r="H1218" s="34">
        <v>45926</v>
      </c>
      <c r="I1218" s="34"/>
      <c r="J1218" s="34">
        <v>45944</v>
      </c>
      <c r="K1218" s="5" t="s">
        <v>348</v>
      </c>
      <c r="L1218" s="5" t="s">
        <v>298</v>
      </c>
      <c r="Q1218" s="44"/>
      <c r="R1218" s="44"/>
      <c r="S1218" s="44"/>
      <c r="T1218" s="44"/>
      <c r="U1218" s="44"/>
      <c r="V1218" s="44"/>
      <c r="W1218" s="44"/>
      <c r="X1218" s="44"/>
      <c r="Y1218" s="44"/>
      <c r="Z1218" s="36">
        <v>1795.97</v>
      </c>
      <c r="AA1218" s="37"/>
      <c r="AB1218" s="37"/>
      <c r="AC1218" s="37"/>
      <c r="AD1218" s="37"/>
      <c r="AE1218" s="37"/>
      <c r="AF1218" s="37"/>
    </row>
    <row r="1219" spans="2:34" x14ac:dyDescent="0.25">
      <c r="B1219" s="5">
        <v>586</v>
      </c>
      <c r="C1219" s="34">
        <v>45936</v>
      </c>
      <c r="D1219" s="5" t="s">
        <v>453</v>
      </c>
      <c r="E1219" s="36">
        <v>1025.04</v>
      </c>
      <c r="F1219" s="36">
        <f>E1219-G1219</f>
        <v>0</v>
      </c>
      <c r="G1219" s="36">
        <v>1025.04</v>
      </c>
      <c r="H1219" s="34">
        <v>45939</v>
      </c>
      <c r="I1219" s="34"/>
      <c r="J1219" s="34">
        <v>45945</v>
      </c>
      <c r="K1219" s="34" t="s">
        <v>434</v>
      </c>
      <c r="L1219" s="34" t="s">
        <v>309</v>
      </c>
      <c r="Q1219" s="35"/>
      <c r="R1219" s="35"/>
      <c r="S1219" s="35"/>
      <c r="T1219" s="35"/>
      <c r="U1219" s="35"/>
      <c r="V1219" s="35"/>
      <c r="W1219" s="35"/>
      <c r="X1219" s="35"/>
      <c r="Y1219" s="33">
        <v>1025.04</v>
      </c>
      <c r="Z1219" s="35"/>
      <c r="AA1219" s="35"/>
      <c r="AB1219" s="35"/>
      <c r="AC1219" s="35"/>
      <c r="AD1219" s="35"/>
      <c r="AE1219" s="35"/>
      <c r="AF1219" s="35"/>
    </row>
    <row r="1220" spans="2:34" x14ac:dyDescent="0.25">
      <c r="B1220" s="5">
        <v>610</v>
      </c>
      <c r="C1220" s="34">
        <v>45940</v>
      </c>
      <c r="D1220" s="5" t="s">
        <v>321</v>
      </c>
      <c r="E1220" s="33">
        <v>329.56</v>
      </c>
      <c r="F1220" s="33">
        <f>E1220-G1220</f>
        <v>0</v>
      </c>
      <c r="G1220" s="33">
        <v>329.56</v>
      </c>
      <c r="H1220" s="34">
        <v>45943</v>
      </c>
      <c r="I1220" s="34"/>
      <c r="J1220" s="34">
        <v>45945</v>
      </c>
      <c r="K1220" s="34" t="s">
        <v>351</v>
      </c>
      <c r="L1220" s="5" t="s">
        <v>298</v>
      </c>
      <c r="Q1220" s="35"/>
      <c r="R1220" s="35"/>
      <c r="S1220" s="35"/>
      <c r="T1220" s="35"/>
      <c r="U1220" s="35"/>
      <c r="V1220" s="35"/>
      <c r="W1220" s="35"/>
      <c r="X1220" s="35"/>
      <c r="Y1220" s="33">
        <v>329.56</v>
      </c>
      <c r="Z1220" s="35"/>
      <c r="AA1220" s="35"/>
      <c r="AB1220" s="35"/>
      <c r="AC1220" s="35"/>
      <c r="AD1220" s="35"/>
      <c r="AE1220" s="35"/>
      <c r="AF1220" s="35"/>
    </row>
    <row r="1221" spans="2:34" x14ac:dyDescent="0.25">
      <c r="B1221" s="57">
        <v>619</v>
      </c>
      <c r="C1221" s="58">
        <v>45943</v>
      </c>
      <c r="D1221" s="57" t="s">
        <v>321</v>
      </c>
      <c r="E1221" s="59">
        <v>9559.1</v>
      </c>
      <c r="F1221" s="59">
        <f>E1221-G1221</f>
        <v>0</v>
      </c>
      <c r="G1221" s="59">
        <v>9559.1</v>
      </c>
      <c r="H1221" s="58">
        <v>45961</v>
      </c>
      <c r="I1221" s="58"/>
      <c r="J1221" s="57"/>
      <c r="K1221" s="58" t="s">
        <v>351</v>
      </c>
      <c r="L1221" s="57" t="s">
        <v>452</v>
      </c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37"/>
      <c r="AB1221" s="37"/>
      <c r="AC1221" s="37"/>
      <c r="AD1221" s="37"/>
      <c r="AE1221" s="37"/>
      <c r="AF1221" s="37"/>
      <c r="AG1221" s="37"/>
    </row>
    <row r="1222" spans="2:34" x14ac:dyDescent="0.25">
      <c r="B1222" s="5">
        <v>631</v>
      </c>
      <c r="C1222" s="34">
        <v>45945</v>
      </c>
      <c r="D1222" s="5" t="s">
        <v>451</v>
      </c>
      <c r="E1222" s="33">
        <v>926.33</v>
      </c>
      <c r="F1222" s="33">
        <f>E1222-G1222</f>
        <v>0</v>
      </c>
      <c r="G1222" s="33">
        <v>926.33</v>
      </c>
      <c r="H1222" s="34">
        <v>45945</v>
      </c>
      <c r="I1222" s="34"/>
      <c r="J1222" s="34">
        <v>45945</v>
      </c>
      <c r="K1222" s="34" t="s">
        <v>342</v>
      </c>
      <c r="Q1222" s="35"/>
      <c r="R1222" s="35"/>
      <c r="S1222" s="35"/>
      <c r="T1222" s="35"/>
      <c r="U1222" s="35"/>
      <c r="V1222" s="35"/>
      <c r="W1222" s="35"/>
      <c r="X1222" s="35"/>
      <c r="Y1222" s="33">
        <v>926.33</v>
      </c>
      <c r="Z1222" s="35"/>
      <c r="AA1222" s="35"/>
      <c r="AB1222" s="35"/>
      <c r="AC1222" s="35"/>
      <c r="AD1222" s="35"/>
      <c r="AE1222" s="35"/>
      <c r="AF1222" s="35"/>
    </row>
    <row r="1223" spans="2:34" x14ac:dyDescent="0.25">
      <c r="B1223" s="5">
        <v>585</v>
      </c>
      <c r="C1223" s="34">
        <v>45936</v>
      </c>
      <c r="D1223" s="5" t="s">
        <v>426</v>
      </c>
      <c r="E1223" s="33">
        <v>2000</v>
      </c>
      <c r="F1223" s="33">
        <f>E1223-G1223</f>
        <v>0</v>
      </c>
      <c r="G1223" s="33">
        <v>2000</v>
      </c>
      <c r="H1223" s="34">
        <v>45960</v>
      </c>
      <c r="I1223" s="34"/>
      <c r="J1223" s="34">
        <v>45946</v>
      </c>
      <c r="K1223" s="5" t="s">
        <v>396</v>
      </c>
      <c r="L1223" s="5" t="s">
        <v>298</v>
      </c>
      <c r="Q1223" s="35"/>
      <c r="R1223" s="35"/>
      <c r="S1223" s="35"/>
      <c r="T1223" s="35"/>
      <c r="U1223" s="35"/>
      <c r="V1223" s="35"/>
      <c r="W1223" s="35"/>
      <c r="X1223" s="35"/>
      <c r="Y1223" s="33">
        <v>2000</v>
      </c>
      <c r="Z1223" s="35"/>
      <c r="AA1223" s="35"/>
      <c r="AB1223" s="35"/>
      <c r="AC1223" s="35"/>
      <c r="AD1223" s="35"/>
      <c r="AE1223" s="35"/>
      <c r="AF1223" s="35"/>
    </row>
    <row r="1224" spans="2:34" x14ac:dyDescent="0.25">
      <c r="B1224" s="5">
        <v>621</v>
      </c>
      <c r="C1224" s="34">
        <v>45943</v>
      </c>
      <c r="D1224" s="5" t="s">
        <v>307</v>
      </c>
      <c r="E1224" s="33">
        <v>63.15</v>
      </c>
      <c r="F1224" s="33">
        <f>E1224-G1224</f>
        <v>0</v>
      </c>
      <c r="G1224" s="33">
        <v>63.15</v>
      </c>
      <c r="H1224" s="34">
        <v>45945</v>
      </c>
      <c r="I1224" s="34"/>
      <c r="J1224" s="34">
        <v>45945</v>
      </c>
      <c r="K1224" s="34" t="s">
        <v>389</v>
      </c>
      <c r="L1224" s="34" t="s">
        <v>298</v>
      </c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3">
        <v>63.15</v>
      </c>
      <c r="AB1224" s="35"/>
      <c r="AC1224" s="35"/>
      <c r="AD1224" s="35"/>
      <c r="AE1224" s="35"/>
      <c r="AF1224" s="35"/>
      <c r="AG1224" s="37"/>
      <c r="AH1224" s="37"/>
    </row>
    <row r="1225" spans="2:34" x14ac:dyDescent="0.25">
      <c r="B1225" s="5">
        <v>580</v>
      </c>
      <c r="C1225" s="34">
        <v>45932</v>
      </c>
      <c r="D1225" s="5" t="s">
        <v>436</v>
      </c>
      <c r="E1225" s="33">
        <v>1236</v>
      </c>
      <c r="F1225" s="33">
        <f>E1225-G1225</f>
        <v>0</v>
      </c>
      <c r="G1225" s="33">
        <v>1236</v>
      </c>
      <c r="H1225" s="34">
        <v>45940</v>
      </c>
      <c r="I1225" s="34"/>
      <c r="J1225" s="34">
        <v>45945</v>
      </c>
      <c r="K1225" s="5" t="s">
        <v>351</v>
      </c>
      <c r="L1225" s="5" t="s">
        <v>298</v>
      </c>
      <c r="Q1225" s="35"/>
      <c r="R1225" s="35"/>
      <c r="S1225" s="35"/>
      <c r="T1225" s="35"/>
      <c r="U1225" s="35"/>
      <c r="V1225" s="35"/>
      <c r="W1225" s="35"/>
      <c r="X1225" s="35"/>
      <c r="Y1225" s="33">
        <v>1236</v>
      </c>
      <c r="Z1225" s="35"/>
      <c r="AA1225" s="35"/>
      <c r="AB1225" s="35"/>
      <c r="AC1225" s="35"/>
      <c r="AD1225" s="35"/>
      <c r="AE1225" s="35"/>
      <c r="AF1225" s="35"/>
    </row>
    <row r="1226" spans="2:34" x14ac:dyDescent="0.25">
      <c r="B1226" s="5">
        <v>606</v>
      </c>
      <c r="C1226" s="34">
        <v>45939</v>
      </c>
      <c r="D1226" s="5" t="s">
        <v>436</v>
      </c>
      <c r="E1226" s="33">
        <v>16</v>
      </c>
      <c r="F1226" s="33">
        <f>E1226-G1226</f>
        <v>0</v>
      </c>
      <c r="G1226" s="33">
        <v>16</v>
      </c>
      <c r="H1226" s="34">
        <v>45947</v>
      </c>
      <c r="I1226" s="34"/>
      <c r="J1226" s="34">
        <v>45945</v>
      </c>
      <c r="K1226" s="34" t="s">
        <v>351</v>
      </c>
      <c r="L1226" s="34" t="s">
        <v>298</v>
      </c>
      <c r="Q1226" s="35"/>
      <c r="R1226" s="35"/>
      <c r="S1226" s="35"/>
      <c r="T1226" s="35"/>
      <c r="U1226" s="35"/>
      <c r="V1226" s="35"/>
      <c r="W1226" s="35"/>
      <c r="X1226" s="35"/>
      <c r="Y1226" s="33">
        <v>16</v>
      </c>
      <c r="Z1226" s="35"/>
      <c r="AA1226" s="35"/>
      <c r="AB1226" s="35"/>
      <c r="AC1226" s="35"/>
      <c r="AD1226" s="35"/>
      <c r="AE1226" s="35"/>
      <c r="AF1226" s="35"/>
    </row>
    <row r="1227" spans="2:34" x14ac:dyDescent="0.25">
      <c r="B1227" s="5">
        <v>588</v>
      </c>
      <c r="C1227" s="34">
        <v>45937</v>
      </c>
      <c r="D1227" s="5" t="s">
        <v>436</v>
      </c>
      <c r="E1227" s="36">
        <v>575</v>
      </c>
      <c r="F1227" s="36">
        <f>E1227-G1227</f>
        <v>0</v>
      </c>
      <c r="G1227" s="36">
        <v>575</v>
      </c>
      <c r="H1227" s="34">
        <v>45944</v>
      </c>
      <c r="I1227" s="34"/>
      <c r="J1227" s="34">
        <v>45945</v>
      </c>
      <c r="K1227" s="34" t="s">
        <v>351</v>
      </c>
      <c r="L1227" s="34" t="s">
        <v>298</v>
      </c>
      <c r="Q1227" s="35"/>
      <c r="R1227" s="35"/>
      <c r="S1227" s="35"/>
      <c r="T1227" s="35"/>
      <c r="U1227" s="35"/>
      <c r="V1227" s="35"/>
      <c r="W1227" s="35"/>
      <c r="X1227" s="35"/>
      <c r="Y1227" s="33">
        <v>575</v>
      </c>
      <c r="Z1227" s="35"/>
      <c r="AA1227" s="35"/>
      <c r="AB1227" s="35"/>
      <c r="AC1227" s="35"/>
      <c r="AD1227" s="35"/>
      <c r="AE1227" s="35"/>
      <c r="AF1227" s="35"/>
    </row>
    <row r="1228" spans="2:34" x14ac:dyDescent="0.25">
      <c r="B1228" s="5">
        <v>568</v>
      </c>
      <c r="C1228" s="34">
        <v>45926</v>
      </c>
      <c r="D1228" s="5" t="s">
        <v>450</v>
      </c>
      <c r="E1228" s="36">
        <v>4052.5</v>
      </c>
      <c r="F1228" s="36">
        <f>E1228-G1228</f>
        <v>0</v>
      </c>
      <c r="G1228" s="36">
        <v>4052.5</v>
      </c>
      <c r="H1228" s="34">
        <v>45940</v>
      </c>
      <c r="I1228" s="34"/>
      <c r="J1228" s="34">
        <v>45946</v>
      </c>
      <c r="K1228" s="5" t="s">
        <v>351</v>
      </c>
      <c r="L1228" s="5" t="s">
        <v>309</v>
      </c>
      <c r="M1228" s="5" t="s">
        <v>308</v>
      </c>
      <c r="Q1228" s="35"/>
      <c r="R1228" s="35"/>
      <c r="S1228" s="35"/>
      <c r="T1228" s="35"/>
      <c r="U1228" s="35"/>
      <c r="V1228" s="35"/>
      <c r="W1228" s="35"/>
      <c r="X1228" s="35"/>
      <c r="Y1228" s="33">
        <v>4052.5</v>
      </c>
      <c r="Z1228" s="35"/>
      <c r="AA1228" s="35"/>
      <c r="AB1228" s="35"/>
      <c r="AC1228" s="35"/>
      <c r="AD1228" s="35"/>
      <c r="AE1228" s="35"/>
      <c r="AF1228" s="35"/>
    </row>
    <row r="1229" spans="2:34" x14ac:dyDescent="0.25">
      <c r="B1229" s="5">
        <v>589</v>
      </c>
      <c r="C1229" s="34">
        <v>45937</v>
      </c>
      <c r="D1229" s="5" t="s">
        <v>268</v>
      </c>
      <c r="E1229" s="36">
        <v>372</v>
      </c>
      <c r="F1229" s="36">
        <f>E1229-G1229</f>
        <v>0</v>
      </c>
      <c r="G1229" s="36">
        <v>372</v>
      </c>
      <c r="H1229" s="34">
        <v>45940</v>
      </c>
      <c r="I1229" s="34"/>
      <c r="J1229" s="34">
        <v>45950</v>
      </c>
      <c r="K1229" s="34" t="s">
        <v>299</v>
      </c>
      <c r="L1229" s="34" t="s">
        <v>309</v>
      </c>
      <c r="M1229" s="34" t="s">
        <v>308</v>
      </c>
      <c r="Q1229" s="35"/>
      <c r="R1229" s="35"/>
      <c r="S1229" s="35"/>
      <c r="T1229" s="35"/>
      <c r="U1229" s="35"/>
      <c r="V1229" s="35"/>
      <c r="W1229" s="35"/>
      <c r="X1229" s="35"/>
      <c r="Y1229" s="35"/>
      <c r="Z1229" s="33">
        <v>372</v>
      </c>
      <c r="AA1229" s="35"/>
      <c r="AB1229" s="35"/>
      <c r="AC1229" s="35"/>
      <c r="AD1229" s="35"/>
      <c r="AE1229" s="35"/>
      <c r="AF1229" s="35"/>
    </row>
    <row r="1230" spans="2:34" x14ac:dyDescent="0.25">
      <c r="B1230" s="5">
        <v>362</v>
      </c>
      <c r="C1230" s="34">
        <v>45811</v>
      </c>
      <c r="D1230" s="5" t="s">
        <v>246</v>
      </c>
      <c r="E1230" s="36">
        <v>1726.41</v>
      </c>
      <c r="F1230" s="36">
        <f>E1230-G1230</f>
        <v>0</v>
      </c>
      <c r="G1230" s="36">
        <v>1726.41</v>
      </c>
      <c r="H1230" s="34">
        <v>45869</v>
      </c>
      <c r="I1230" s="34"/>
      <c r="J1230" s="34">
        <v>45950</v>
      </c>
      <c r="K1230" s="5" t="s">
        <v>348</v>
      </c>
      <c r="L1230" s="5" t="s">
        <v>309</v>
      </c>
      <c r="N1230" t="s">
        <v>355</v>
      </c>
      <c r="Q1230" s="41"/>
      <c r="R1230" s="43"/>
      <c r="S1230" s="42"/>
      <c r="T1230" s="33">
        <v>1726.41</v>
      </c>
      <c r="U1230" s="35"/>
      <c r="V1230" s="35"/>
      <c r="W1230" s="35"/>
      <c r="X1230" s="35"/>
      <c r="Y1230" s="35"/>
      <c r="Z1230" s="35"/>
      <c r="AA1230" s="37"/>
      <c r="AB1230" s="37"/>
      <c r="AC1230" s="37"/>
      <c r="AD1230" s="37"/>
      <c r="AE1230" s="37"/>
    </row>
    <row r="1231" spans="2:34" x14ac:dyDescent="0.25">
      <c r="B1231" s="5">
        <v>382</v>
      </c>
      <c r="C1231" s="34">
        <v>45469</v>
      </c>
      <c r="D1231" s="5" t="s">
        <v>449</v>
      </c>
      <c r="E1231" s="36">
        <v>25000</v>
      </c>
      <c r="F1231" s="36">
        <f>E1231-G1231</f>
        <v>0</v>
      </c>
      <c r="G1231" s="36">
        <v>25000</v>
      </c>
      <c r="H1231" s="34">
        <v>45565</v>
      </c>
      <c r="I1231" s="34"/>
      <c r="J1231" s="34">
        <v>45947</v>
      </c>
      <c r="K1231" s="5" t="s">
        <v>382</v>
      </c>
      <c r="L1231" s="5" t="s">
        <v>303</v>
      </c>
      <c r="M1231" s="5" t="s">
        <v>308</v>
      </c>
      <c r="Q1231" s="41"/>
      <c r="R1231" s="40">
        <v>8000</v>
      </c>
      <c r="S1231" s="42"/>
      <c r="T1231" s="35"/>
      <c r="U1231" s="35"/>
      <c r="V1231" s="35"/>
      <c r="W1231" s="35"/>
      <c r="X1231" s="35"/>
      <c r="Y1231" s="35"/>
      <c r="Z1231" s="40">
        <v>2500</v>
      </c>
      <c r="AA1231" s="37"/>
      <c r="AB1231" s="37"/>
      <c r="AC1231" s="37"/>
      <c r="AD1231" s="37"/>
      <c r="AE1231" s="37"/>
    </row>
    <row r="1232" spans="2:34" x14ac:dyDescent="0.25">
      <c r="B1232" s="5">
        <v>627</v>
      </c>
      <c r="C1232" s="34">
        <v>45945</v>
      </c>
      <c r="D1232" s="5" t="s">
        <v>23</v>
      </c>
      <c r="E1232" s="36">
        <v>7647.12</v>
      </c>
      <c r="F1232" s="36">
        <f>E1232-G1232</f>
        <v>0</v>
      </c>
      <c r="G1232" s="36">
        <v>7647.12</v>
      </c>
      <c r="H1232" s="34">
        <v>45950</v>
      </c>
      <c r="I1232" s="34"/>
      <c r="J1232" s="34">
        <v>45950</v>
      </c>
      <c r="K1232" s="34" t="s">
        <v>351</v>
      </c>
      <c r="L1232" s="34" t="s">
        <v>298</v>
      </c>
      <c r="Q1232" s="41"/>
      <c r="R1232" s="43"/>
      <c r="S1232" s="42"/>
      <c r="T1232" s="35"/>
      <c r="U1232" s="35"/>
      <c r="V1232" s="35"/>
      <c r="W1232" s="35"/>
      <c r="X1232" s="35"/>
      <c r="Y1232" s="33">
        <v>7647.12</v>
      </c>
      <c r="Z1232" s="35"/>
      <c r="AA1232" s="37"/>
      <c r="AB1232" s="37"/>
      <c r="AC1232" s="37"/>
      <c r="AD1232" s="37"/>
      <c r="AE1232" s="37"/>
      <c r="AF1232" s="37"/>
      <c r="AG1232" s="37"/>
      <c r="AH1232" s="37"/>
    </row>
    <row r="1233" spans="2:35" x14ac:dyDescent="0.25">
      <c r="B1233" s="5">
        <v>638</v>
      </c>
      <c r="C1233" s="34">
        <v>45946</v>
      </c>
      <c r="D1233" s="5" t="s">
        <v>307</v>
      </c>
      <c r="E1233" s="36">
        <v>79.62</v>
      </c>
      <c r="F1233" s="36">
        <f>E1233-G1233</f>
        <v>0</v>
      </c>
      <c r="G1233" s="36">
        <v>79.62</v>
      </c>
      <c r="H1233" s="34">
        <v>45951</v>
      </c>
      <c r="I1233" s="34"/>
      <c r="J1233" s="34">
        <v>45947</v>
      </c>
      <c r="K1233" s="34" t="s">
        <v>351</v>
      </c>
      <c r="L1233" s="34" t="s">
        <v>298</v>
      </c>
      <c r="Q1233" s="35"/>
      <c r="R1233" s="35"/>
      <c r="S1233" s="35"/>
      <c r="T1233" s="35"/>
      <c r="U1233" s="35"/>
      <c r="V1233" s="35"/>
      <c r="W1233" s="35"/>
      <c r="X1233" s="35"/>
      <c r="Y1233" s="35"/>
      <c r="Z1233" s="35"/>
      <c r="AA1233" s="33">
        <v>79.62</v>
      </c>
      <c r="AB1233" s="35"/>
      <c r="AC1233" s="35"/>
      <c r="AD1233" s="35"/>
      <c r="AE1233" s="35"/>
      <c r="AF1233" s="35"/>
      <c r="AG1233" s="35"/>
      <c r="AH1233" s="35"/>
    </row>
    <row r="1234" spans="2:35" x14ac:dyDescent="0.25">
      <c r="B1234" s="5">
        <v>624</v>
      </c>
      <c r="C1234" s="34">
        <v>45944</v>
      </c>
      <c r="D1234" s="5" t="s">
        <v>448</v>
      </c>
      <c r="E1234" s="36">
        <v>20.11</v>
      </c>
      <c r="F1234" s="36">
        <f>E1234-G1234</f>
        <v>0</v>
      </c>
      <c r="G1234" s="36">
        <v>20.11</v>
      </c>
      <c r="H1234" s="34">
        <v>45951</v>
      </c>
      <c r="I1234" s="34"/>
      <c r="J1234" s="34">
        <v>45947</v>
      </c>
      <c r="K1234" s="34" t="s">
        <v>351</v>
      </c>
      <c r="L1234" s="34" t="s">
        <v>309</v>
      </c>
      <c r="M1234" s="34" t="s">
        <v>308</v>
      </c>
      <c r="N1234" s="34" t="s">
        <v>447</v>
      </c>
      <c r="Q1234" s="41"/>
      <c r="R1234" s="43"/>
      <c r="S1234" s="42"/>
      <c r="T1234" s="35"/>
      <c r="U1234" s="35"/>
      <c r="V1234" s="35"/>
      <c r="W1234" s="35"/>
      <c r="X1234" s="33">
        <v>20.11</v>
      </c>
      <c r="Y1234" s="35"/>
      <c r="Z1234" s="35"/>
      <c r="AA1234" s="37"/>
      <c r="AB1234" s="37"/>
      <c r="AC1234" s="37"/>
      <c r="AD1234" s="37"/>
      <c r="AE1234" s="37"/>
      <c r="AF1234" s="37"/>
      <c r="AG1234" s="37"/>
      <c r="AH1234" s="37"/>
    </row>
    <row r="1235" spans="2:35" x14ac:dyDescent="0.25">
      <c r="B1235" s="5">
        <v>587</v>
      </c>
      <c r="C1235" s="34">
        <v>45936</v>
      </c>
      <c r="D1235" s="5" t="s">
        <v>404</v>
      </c>
      <c r="E1235" s="36">
        <v>3017.05</v>
      </c>
      <c r="F1235" s="36">
        <f>E1235-G1235</f>
        <v>0</v>
      </c>
      <c r="G1235" s="36">
        <v>3017.05</v>
      </c>
      <c r="H1235" s="34">
        <v>45950</v>
      </c>
      <c r="I1235" s="34"/>
      <c r="J1235" s="34">
        <v>45950</v>
      </c>
      <c r="K1235" s="34" t="s">
        <v>434</v>
      </c>
      <c r="L1235" s="34" t="s">
        <v>309</v>
      </c>
      <c r="M1235" s="34" t="s">
        <v>308</v>
      </c>
      <c r="Q1235" s="35"/>
      <c r="R1235" s="35"/>
      <c r="S1235" s="35"/>
      <c r="T1235" s="35"/>
      <c r="U1235" s="35"/>
      <c r="V1235" s="35"/>
      <c r="W1235" s="35"/>
      <c r="X1235" s="35"/>
      <c r="Y1235" s="33">
        <v>3017.05</v>
      </c>
      <c r="Z1235" s="35"/>
      <c r="AA1235" s="35"/>
      <c r="AB1235" s="35"/>
      <c r="AC1235" s="35"/>
      <c r="AD1235" s="35"/>
      <c r="AE1235" s="35"/>
      <c r="AF1235" s="35"/>
      <c r="AG1235" s="37"/>
      <c r="AH1235" s="37"/>
    </row>
    <row r="1236" spans="2:35" x14ac:dyDescent="0.25">
      <c r="B1236" s="5">
        <v>629</v>
      </c>
      <c r="C1236" s="34">
        <v>45945</v>
      </c>
      <c r="D1236" s="5" t="s">
        <v>321</v>
      </c>
      <c r="E1236" s="36">
        <v>234.44</v>
      </c>
      <c r="F1236" s="36">
        <f>E1236-G1236</f>
        <v>0</v>
      </c>
      <c r="G1236" s="36">
        <v>234.44</v>
      </c>
      <c r="H1236" s="34">
        <v>45950</v>
      </c>
      <c r="I1236" s="34"/>
      <c r="J1236" s="34">
        <v>45586</v>
      </c>
      <c r="K1236" s="34" t="s">
        <v>351</v>
      </c>
      <c r="L1236" s="34" t="s">
        <v>309</v>
      </c>
      <c r="M1236" s="34" t="s">
        <v>308</v>
      </c>
      <c r="Q1236" s="41"/>
      <c r="R1236" s="43"/>
      <c r="S1236" s="42"/>
      <c r="T1236" s="35"/>
      <c r="U1236" s="35"/>
      <c r="V1236" s="35"/>
      <c r="W1236" s="35"/>
      <c r="X1236" s="35"/>
      <c r="Y1236" s="36">
        <v>234.44</v>
      </c>
      <c r="Z1236" s="35"/>
      <c r="AA1236" s="35"/>
      <c r="AB1236" s="35"/>
      <c r="AC1236" s="35"/>
      <c r="AD1236" s="35"/>
      <c r="AE1236" s="35"/>
      <c r="AF1236" s="35"/>
      <c r="AG1236" s="35"/>
      <c r="AH1236" s="35"/>
    </row>
    <row r="1237" spans="2:35" x14ac:dyDescent="0.25">
      <c r="B1237" s="5">
        <v>616</v>
      </c>
      <c r="C1237" s="34">
        <v>45940</v>
      </c>
      <c r="D1237" s="5" t="s">
        <v>446</v>
      </c>
      <c r="E1237" s="36">
        <v>6790</v>
      </c>
      <c r="F1237" s="36">
        <f>E1237-G1237</f>
        <v>0</v>
      </c>
      <c r="G1237" s="36">
        <v>6790</v>
      </c>
      <c r="H1237" s="34">
        <v>45960</v>
      </c>
      <c r="I1237" s="34"/>
      <c r="J1237" s="34">
        <v>45586</v>
      </c>
      <c r="K1237" s="34" t="s">
        <v>351</v>
      </c>
      <c r="L1237" s="5" t="s">
        <v>298</v>
      </c>
      <c r="Q1237" s="35"/>
      <c r="R1237" s="35"/>
      <c r="S1237" s="35"/>
      <c r="T1237" s="35"/>
      <c r="U1237" s="35"/>
      <c r="V1237" s="35"/>
      <c r="W1237" s="35"/>
      <c r="X1237" s="35"/>
      <c r="Y1237" s="33">
        <v>6790</v>
      </c>
      <c r="Z1237" s="35"/>
      <c r="AA1237" s="35"/>
      <c r="AB1237" s="35"/>
      <c r="AC1237" s="35"/>
      <c r="AD1237" s="35"/>
      <c r="AE1237" s="35"/>
      <c r="AF1237" s="35"/>
      <c r="AG1237" s="37"/>
      <c r="AH1237" s="37"/>
    </row>
    <row r="1238" spans="2:35" x14ac:dyDescent="0.25">
      <c r="B1238" s="5">
        <v>578</v>
      </c>
      <c r="C1238" s="34">
        <v>45931</v>
      </c>
      <c r="D1238" s="5" t="s">
        <v>175</v>
      </c>
      <c r="E1238" s="36">
        <v>120</v>
      </c>
      <c r="F1238" s="36">
        <f>E1238-G1238</f>
        <v>0</v>
      </c>
      <c r="G1238" s="36">
        <v>120</v>
      </c>
      <c r="H1238" s="34">
        <v>45931</v>
      </c>
      <c r="I1238" s="34"/>
      <c r="J1238" s="34">
        <v>45931</v>
      </c>
      <c r="K1238" s="34" t="s">
        <v>445</v>
      </c>
      <c r="L1238" s="34" t="s">
        <v>298</v>
      </c>
      <c r="M1238" s="34"/>
      <c r="N1238" s="39" t="s">
        <v>444</v>
      </c>
      <c r="Q1238" s="35"/>
      <c r="R1238" s="35"/>
      <c r="S1238" s="35"/>
      <c r="T1238" s="35"/>
      <c r="U1238" s="35"/>
      <c r="V1238" s="35"/>
      <c r="W1238" s="35"/>
      <c r="X1238" s="35"/>
      <c r="Y1238" s="36">
        <v>120</v>
      </c>
      <c r="Z1238" s="35"/>
      <c r="AA1238" s="35"/>
      <c r="AB1238" s="35"/>
      <c r="AC1238" s="35"/>
      <c r="AD1238" s="35"/>
      <c r="AE1238" s="35"/>
      <c r="AF1238" s="37"/>
      <c r="AG1238" s="37"/>
      <c r="AH1238" s="37"/>
    </row>
    <row r="1239" spans="2:35" x14ac:dyDescent="0.25">
      <c r="B1239" s="5">
        <v>549</v>
      </c>
      <c r="C1239" s="34">
        <v>45917</v>
      </c>
      <c r="D1239" s="5" t="s">
        <v>371</v>
      </c>
      <c r="E1239" s="36">
        <v>1956</v>
      </c>
      <c r="F1239" s="36">
        <f>E1239-G1239</f>
        <v>0</v>
      </c>
      <c r="G1239" s="36">
        <v>1956</v>
      </c>
      <c r="H1239" s="34">
        <v>45925</v>
      </c>
      <c r="I1239" s="34"/>
      <c r="J1239" s="34">
        <v>45945</v>
      </c>
      <c r="K1239" s="34" t="s">
        <v>443</v>
      </c>
      <c r="L1239" s="34" t="s">
        <v>298</v>
      </c>
      <c r="M1239" s="34"/>
      <c r="N1239" s="34"/>
      <c r="Q1239" s="41"/>
      <c r="R1239" s="43"/>
      <c r="S1239" s="42"/>
      <c r="T1239" s="35"/>
      <c r="U1239" s="35"/>
      <c r="V1239" s="35"/>
      <c r="W1239" s="35"/>
      <c r="X1239" s="35"/>
      <c r="Y1239" s="35"/>
      <c r="Z1239" s="33">
        <v>1956</v>
      </c>
      <c r="AA1239" s="37"/>
      <c r="AB1239" s="37"/>
      <c r="AC1239" s="37"/>
      <c r="AD1239" s="37"/>
      <c r="AE1239" s="37"/>
      <c r="AF1239" s="35"/>
      <c r="AG1239" s="37"/>
      <c r="AH1239" s="37"/>
    </row>
    <row r="1240" spans="2:35" x14ac:dyDescent="0.25">
      <c r="B1240" s="5">
        <v>179</v>
      </c>
      <c r="C1240" s="34">
        <v>45730</v>
      </c>
      <c r="D1240" s="5" t="s">
        <v>395</v>
      </c>
      <c r="E1240" s="36">
        <v>24000</v>
      </c>
      <c r="F1240" s="36">
        <f>E1240-G1240</f>
        <v>0</v>
      </c>
      <c r="G1240" s="36">
        <v>24000</v>
      </c>
      <c r="H1240" s="34">
        <v>45838</v>
      </c>
      <c r="I1240" s="34"/>
      <c r="J1240" s="34">
        <v>45952</v>
      </c>
      <c r="K1240" s="34" t="s">
        <v>348</v>
      </c>
      <c r="L1240" s="5" t="s">
        <v>298</v>
      </c>
      <c r="M1240" s="34"/>
      <c r="N1240" s="34" t="s">
        <v>442</v>
      </c>
      <c r="Q1240" s="41"/>
      <c r="R1240" s="43"/>
      <c r="S1240" s="40">
        <v>9600</v>
      </c>
      <c r="T1240" s="35"/>
      <c r="U1240" s="35"/>
      <c r="V1240" s="35"/>
      <c r="W1240" s="35"/>
      <c r="X1240" s="40">
        <v>9600</v>
      </c>
      <c r="Y1240" s="35"/>
      <c r="Z1240" s="40">
        <v>4800</v>
      </c>
      <c r="AA1240" s="37"/>
      <c r="AB1240" s="37"/>
      <c r="AC1240" s="37"/>
      <c r="AD1240" s="37"/>
      <c r="AE1240" s="37"/>
      <c r="AF1240" s="37"/>
      <c r="AG1240" s="37"/>
      <c r="AH1240" s="37"/>
    </row>
    <row r="1241" spans="2:35" x14ac:dyDescent="0.25">
      <c r="B1241" s="5">
        <v>182</v>
      </c>
      <c r="C1241" s="34">
        <v>45730</v>
      </c>
      <c r="D1241" s="5" t="s">
        <v>395</v>
      </c>
      <c r="E1241" s="36">
        <v>61950</v>
      </c>
      <c r="F1241" s="36">
        <f>E1241-G1241</f>
        <v>0</v>
      </c>
      <c r="G1241" s="36">
        <v>61950</v>
      </c>
      <c r="H1241" s="34">
        <v>45868</v>
      </c>
      <c r="I1241" s="34"/>
      <c r="J1241" s="34">
        <v>45952</v>
      </c>
      <c r="K1241" s="34" t="s">
        <v>348</v>
      </c>
      <c r="L1241" s="5" t="s">
        <v>298</v>
      </c>
      <c r="N1241" s="34" t="s">
        <v>442</v>
      </c>
      <c r="Q1241" s="41"/>
      <c r="R1241" s="43"/>
      <c r="S1241" s="40">
        <v>24780</v>
      </c>
      <c r="T1241" s="35"/>
      <c r="U1241" s="35"/>
      <c r="V1241" s="35"/>
      <c r="W1241" s="35"/>
      <c r="X1241" s="40">
        <v>24780</v>
      </c>
      <c r="Y1241" s="35"/>
      <c r="Z1241" s="40">
        <v>12390</v>
      </c>
      <c r="AA1241" s="37"/>
      <c r="AB1241" s="37"/>
      <c r="AC1241" s="37"/>
      <c r="AD1241" s="37"/>
      <c r="AE1241" s="37"/>
      <c r="AF1241" s="37"/>
      <c r="AG1241" s="37"/>
      <c r="AH1241" s="37"/>
    </row>
    <row r="1242" spans="2:35" x14ac:dyDescent="0.25">
      <c r="B1242" s="5">
        <v>669</v>
      </c>
      <c r="C1242" s="34">
        <v>45954</v>
      </c>
      <c r="D1242" s="5" t="s">
        <v>375</v>
      </c>
      <c r="E1242" s="36">
        <v>257.32</v>
      </c>
      <c r="F1242" s="36">
        <f>E1242-G1242</f>
        <v>0</v>
      </c>
      <c r="G1242" s="36">
        <v>257.32</v>
      </c>
      <c r="H1242" s="34">
        <v>45957</v>
      </c>
      <c r="I1242" s="34"/>
      <c r="J1242" s="34">
        <v>45957</v>
      </c>
      <c r="K1242" s="34" t="s">
        <v>441</v>
      </c>
      <c r="L1242" s="34" t="s">
        <v>298</v>
      </c>
      <c r="Q1242" s="35"/>
      <c r="R1242" s="35"/>
      <c r="S1242" s="35"/>
      <c r="T1242" s="35"/>
      <c r="U1242" s="35"/>
      <c r="V1242" s="35"/>
      <c r="W1242" s="35"/>
      <c r="X1242" s="35"/>
      <c r="Y1242" s="33">
        <v>257.32</v>
      </c>
      <c r="Z1242" s="35"/>
      <c r="AA1242" s="35"/>
      <c r="AB1242" s="35"/>
      <c r="AC1242" s="35"/>
      <c r="AD1242" s="35"/>
      <c r="AE1242" s="35"/>
      <c r="AF1242" s="35"/>
      <c r="AG1242" s="35"/>
      <c r="AH1242" s="37"/>
    </row>
    <row r="1243" spans="2:35" x14ac:dyDescent="0.25">
      <c r="B1243" s="5">
        <v>635</v>
      </c>
      <c r="C1243" s="34">
        <v>45946</v>
      </c>
      <c r="D1243" s="5" t="s">
        <v>440</v>
      </c>
      <c r="E1243" s="36">
        <v>160.71</v>
      </c>
      <c r="F1243" s="36">
        <f>E1243-G1243</f>
        <v>0</v>
      </c>
      <c r="G1243" s="36">
        <v>160.71</v>
      </c>
      <c r="H1243" s="34">
        <v>45957</v>
      </c>
      <c r="I1243" s="34"/>
      <c r="J1243" s="34">
        <v>45958</v>
      </c>
      <c r="K1243" s="34" t="s">
        <v>439</v>
      </c>
      <c r="L1243" s="34" t="s">
        <v>309</v>
      </c>
      <c r="M1243" s="34" t="s">
        <v>308</v>
      </c>
      <c r="Q1243" s="35"/>
      <c r="R1243" s="35"/>
      <c r="S1243" s="35"/>
      <c r="T1243" s="35"/>
      <c r="U1243" s="35"/>
      <c r="V1243" s="35"/>
      <c r="W1243" s="35"/>
      <c r="X1243" s="33">
        <v>160.71</v>
      </c>
      <c r="Y1243" s="35"/>
      <c r="Z1243" s="35"/>
      <c r="AA1243" s="35"/>
      <c r="AB1243" s="35"/>
      <c r="AC1243" s="35"/>
      <c r="AD1243" s="35"/>
      <c r="AE1243" s="35"/>
      <c r="AF1243" s="35"/>
      <c r="AG1243" s="35"/>
      <c r="AH1243" s="35"/>
    </row>
    <row r="1244" spans="2:35" x14ac:dyDescent="0.25">
      <c r="B1244" s="5">
        <v>583</v>
      </c>
      <c r="C1244" s="34">
        <v>45933</v>
      </c>
      <c r="D1244" s="5" t="s">
        <v>314</v>
      </c>
      <c r="E1244" s="33">
        <v>255.48</v>
      </c>
      <c r="F1244" s="33">
        <f>E1244-G1244</f>
        <v>0</v>
      </c>
      <c r="G1244" s="33">
        <v>255.48</v>
      </c>
      <c r="H1244" s="34">
        <v>45953</v>
      </c>
      <c r="I1244" s="34"/>
      <c r="J1244" s="34">
        <v>45952</v>
      </c>
      <c r="K1244" s="5" t="s">
        <v>351</v>
      </c>
      <c r="Q1244" s="35"/>
      <c r="R1244" s="35"/>
      <c r="S1244" s="35"/>
      <c r="T1244" s="35"/>
      <c r="U1244" s="35"/>
      <c r="V1244" s="35"/>
      <c r="W1244" s="35"/>
      <c r="X1244" s="35"/>
      <c r="Y1244" s="33">
        <v>255.48</v>
      </c>
      <c r="Z1244" s="35"/>
      <c r="AA1244" s="35"/>
      <c r="AB1244" s="35"/>
      <c r="AC1244" s="35"/>
      <c r="AD1244" s="35"/>
      <c r="AE1244" s="35"/>
      <c r="AF1244" s="35"/>
      <c r="AG1244" s="37"/>
      <c r="AH1244" s="37"/>
    </row>
    <row r="1245" spans="2:35" x14ac:dyDescent="0.25">
      <c r="B1245" s="5">
        <v>660</v>
      </c>
      <c r="C1245" s="34">
        <v>45952</v>
      </c>
      <c r="D1245" s="5" t="s">
        <v>438</v>
      </c>
      <c r="E1245" s="33">
        <v>750</v>
      </c>
      <c r="F1245" s="33">
        <f>E1245-G1245</f>
        <v>0</v>
      </c>
      <c r="G1245" s="33">
        <v>750</v>
      </c>
      <c r="H1245" s="34">
        <v>45961</v>
      </c>
      <c r="I1245" s="34"/>
      <c r="J1245" s="34">
        <v>45959</v>
      </c>
      <c r="K1245" s="34" t="s">
        <v>437</v>
      </c>
      <c r="L1245" s="34" t="s">
        <v>298</v>
      </c>
      <c r="Q1245" s="35"/>
      <c r="R1245" s="35"/>
      <c r="S1245" s="35"/>
      <c r="T1245" s="35"/>
      <c r="U1245" s="35"/>
      <c r="V1245" s="35"/>
      <c r="W1245" s="35"/>
      <c r="X1245" s="35"/>
      <c r="Y1245" s="33">
        <v>750</v>
      </c>
      <c r="Z1245" s="35"/>
      <c r="AA1245" s="35"/>
      <c r="AB1245" s="35"/>
      <c r="AC1245" s="35"/>
      <c r="AD1245" s="35"/>
      <c r="AE1245" s="35"/>
      <c r="AF1245" s="35"/>
      <c r="AG1245" s="35"/>
      <c r="AH1245" s="35"/>
    </row>
    <row r="1246" spans="2:35" x14ac:dyDescent="0.25">
      <c r="B1246" s="5">
        <v>633</v>
      </c>
      <c r="C1246" s="34">
        <v>45945</v>
      </c>
      <c r="D1246" s="5" t="s">
        <v>300</v>
      </c>
      <c r="E1246" s="33">
        <v>125</v>
      </c>
      <c r="F1246" s="33">
        <f>E1246-G1246</f>
        <v>0</v>
      </c>
      <c r="G1246" s="33">
        <v>125</v>
      </c>
      <c r="H1246" s="34">
        <v>45952</v>
      </c>
      <c r="I1246" s="34"/>
      <c r="J1246" s="34">
        <v>45959</v>
      </c>
      <c r="K1246" s="5" t="s">
        <v>299</v>
      </c>
      <c r="L1246" s="5" t="s">
        <v>298</v>
      </c>
      <c r="Q1246" s="35"/>
      <c r="R1246" s="35"/>
      <c r="S1246" s="35"/>
      <c r="T1246" s="35"/>
      <c r="U1246" s="35"/>
      <c r="V1246" s="35"/>
      <c r="W1246" s="35"/>
      <c r="X1246" s="35"/>
      <c r="Y1246" s="35"/>
      <c r="Z1246" s="33">
        <v>125</v>
      </c>
      <c r="AA1246" s="35"/>
      <c r="AB1246" s="35"/>
      <c r="AC1246" s="35"/>
      <c r="AD1246" s="35"/>
      <c r="AE1246" s="35"/>
      <c r="AF1246" s="35"/>
      <c r="AG1246" s="35"/>
      <c r="AH1246" s="35"/>
      <c r="AI1246" s="34"/>
    </row>
    <row r="1247" spans="2:35" x14ac:dyDescent="0.25">
      <c r="B1247" s="5">
        <v>602</v>
      </c>
      <c r="C1247" s="34">
        <v>45938</v>
      </c>
      <c r="D1247" s="5" t="s">
        <v>404</v>
      </c>
      <c r="E1247" s="36">
        <v>6333.74</v>
      </c>
      <c r="F1247" s="36">
        <f>E1247-G1247</f>
        <v>0</v>
      </c>
      <c r="G1247" s="36">
        <v>6333.74</v>
      </c>
      <c r="H1247" s="34">
        <v>45968</v>
      </c>
      <c r="I1247" s="34"/>
      <c r="J1247" s="34">
        <v>45959</v>
      </c>
      <c r="K1247" s="5" t="s">
        <v>351</v>
      </c>
      <c r="L1247" s="5" t="s">
        <v>309</v>
      </c>
      <c r="M1247" s="5" t="s">
        <v>308</v>
      </c>
      <c r="Q1247" s="35"/>
      <c r="R1247" s="35"/>
      <c r="S1247" s="35"/>
      <c r="T1247" s="35"/>
      <c r="U1247" s="35"/>
      <c r="V1247" s="35"/>
      <c r="W1247" s="35"/>
      <c r="X1247" s="35"/>
      <c r="Y1247" s="33">
        <v>6333.74</v>
      </c>
      <c r="Z1247" s="35"/>
      <c r="AA1247" s="35"/>
      <c r="AB1247" s="35"/>
      <c r="AC1247" s="35"/>
      <c r="AD1247" s="35"/>
      <c r="AE1247" s="35"/>
      <c r="AF1247" s="35"/>
      <c r="AG1247" s="37"/>
      <c r="AH1247" s="37"/>
    </row>
    <row r="1248" spans="2:35" x14ac:dyDescent="0.25">
      <c r="B1248" s="5">
        <v>644</v>
      </c>
      <c r="C1248" s="34">
        <v>45950</v>
      </c>
      <c r="D1248" s="5" t="s">
        <v>321</v>
      </c>
      <c r="E1248" s="36">
        <v>320.31</v>
      </c>
      <c r="F1248" s="36">
        <f>E1248-G1248</f>
        <v>0</v>
      </c>
      <c r="G1248" s="36">
        <v>320.31</v>
      </c>
      <c r="H1248" s="34">
        <v>45954</v>
      </c>
      <c r="I1248" s="34"/>
      <c r="J1248" s="34">
        <v>45958</v>
      </c>
      <c r="K1248" s="5" t="s">
        <v>330</v>
      </c>
      <c r="L1248" s="5" t="s">
        <v>309</v>
      </c>
      <c r="M1248" s="5" t="s">
        <v>308</v>
      </c>
      <c r="Q1248" s="35"/>
      <c r="R1248" s="35"/>
      <c r="S1248" s="35"/>
      <c r="T1248" s="35"/>
      <c r="U1248" s="35"/>
      <c r="V1248" s="35"/>
      <c r="W1248" s="35"/>
      <c r="X1248" s="35"/>
      <c r="Y1248" s="33">
        <v>320.31</v>
      </c>
      <c r="Z1248" s="35"/>
      <c r="AA1248" s="35"/>
      <c r="AB1248" s="35"/>
      <c r="AC1248" s="35"/>
      <c r="AD1248" s="35"/>
      <c r="AE1248" s="35"/>
      <c r="AF1248" s="35"/>
      <c r="AG1248" s="35"/>
      <c r="AH1248" s="35"/>
    </row>
    <row r="1249" spans="2:35" x14ac:dyDescent="0.25">
      <c r="B1249" s="5">
        <v>623</v>
      </c>
      <c r="C1249" s="34">
        <v>45944</v>
      </c>
      <c r="D1249" s="5" t="s">
        <v>384</v>
      </c>
      <c r="E1249" s="36">
        <v>470</v>
      </c>
      <c r="F1249" s="36">
        <f>E1249-G1249</f>
        <v>0</v>
      </c>
      <c r="G1249" s="36">
        <v>470</v>
      </c>
      <c r="H1249" s="34">
        <v>45955</v>
      </c>
      <c r="I1249" s="34"/>
      <c r="J1249" s="34">
        <v>45950</v>
      </c>
      <c r="K1249" s="34" t="s">
        <v>354</v>
      </c>
      <c r="Q1249" s="35"/>
      <c r="R1249" s="35"/>
      <c r="S1249" s="35"/>
      <c r="T1249" s="35"/>
      <c r="U1249" s="35"/>
      <c r="V1249" s="35"/>
      <c r="W1249" s="35"/>
      <c r="X1249" s="35"/>
      <c r="Y1249" s="33">
        <v>470</v>
      </c>
      <c r="Z1249" s="35"/>
      <c r="AA1249" s="35"/>
      <c r="AB1249" s="35"/>
      <c r="AC1249" s="35"/>
      <c r="AD1249" s="35"/>
      <c r="AE1249" s="35"/>
      <c r="AF1249" s="35"/>
      <c r="AG1249" s="35"/>
      <c r="AH1249" s="35"/>
    </row>
    <row r="1250" spans="2:35" x14ac:dyDescent="0.25">
      <c r="B1250" s="5">
        <v>659</v>
      </c>
      <c r="C1250" s="34">
        <v>45952</v>
      </c>
      <c r="D1250" s="5" t="s">
        <v>316</v>
      </c>
      <c r="E1250" s="36">
        <v>570.86</v>
      </c>
      <c r="F1250" s="36">
        <f>E1250-G1250</f>
        <v>0</v>
      </c>
      <c r="G1250" s="36">
        <v>570.86</v>
      </c>
      <c r="H1250" s="34">
        <v>45954</v>
      </c>
      <c r="I1250" s="34"/>
      <c r="J1250" s="34">
        <v>45958</v>
      </c>
      <c r="K1250" s="34" t="s">
        <v>304</v>
      </c>
      <c r="L1250" s="34" t="s">
        <v>309</v>
      </c>
      <c r="M1250" s="34" t="s">
        <v>308</v>
      </c>
      <c r="Q1250" s="35"/>
      <c r="R1250" s="35"/>
      <c r="S1250" s="35"/>
      <c r="T1250" s="35"/>
      <c r="U1250" s="35"/>
      <c r="V1250" s="35"/>
      <c r="W1250" s="35"/>
      <c r="X1250" s="35"/>
      <c r="Y1250" s="33">
        <v>570.86</v>
      </c>
      <c r="Z1250" s="35"/>
      <c r="AA1250" s="35"/>
      <c r="AB1250" s="35"/>
      <c r="AC1250" s="35"/>
      <c r="AD1250" s="35"/>
      <c r="AE1250" s="35"/>
      <c r="AF1250" s="35"/>
      <c r="AG1250" s="35"/>
      <c r="AH1250" s="35"/>
    </row>
    <row r="1251" spans="2:35" x14ac:dyDescent="0.25">
      <c r="B1251" s="5">
        <v>655</v>
      </c>
      <c r="C1251" s="34">
        <v>45951</v>
      </c>
      <c r="D1251" s="5" t="s">
        <v>316</v>
      </c>
      <c r="E1251" s="36">
        <v>170.86</v>
      </c>
      <c r="F1251" s="36">
        <f>E1251-G1251</f>
        <v>0</v>
      </c>
      <c r="G1251" s="36">
        <v>170.86</v>
      </c>
      <c r="H1251" s="34">
        <v>45954</v>
      </c>
      <c r="I1251" s="34"/>
      <c r="J1251" s="34">
        <v>45952</v>
      </c>
      <c r="K1251" s="34" t="s">
        <v>318</v>
      </c>
      <c r="L1251" s="34" t="s">
        <v>309</v>
      </c>
      <c r="M1251" s="34" t="s">
        <v>308</v>
      </c>
      <c r="Q1251" s="35"/>
      <c r="R1251" s="35"/>
      <c r="S1251" s="35"/>
      <c r="T1251" s="35"/>
      <c r="U1251" s="35"/>
      <c r="V1251" s="35"/>
      <c r="W1251" s="35"/>
      <c r="X1251" s="35"/>
      <c r="Y1251" s="33">
        <v>170.86</v>
      </c>
      <c r="Z1251" s="35"/>
      <c r="AA1251" s="35"/>
      <c r="AB1251" s="35"/>
      <c r="AC1251" s="35"/>
      <c r="AD1251" s="35"/>
      <c r="AE1251" s="35"/>
      <c r="AF1251" s="35"/>
      <c r="AG1251" s="37"/>
      <c r="AH1251" s="37"/>
    </row>
    <row r="1252" spans="2:35" x14ac:dyDescent="0.25">
      <c r="B1252" s="5">
        <v>653</v>
      </c>
      <c r="C1252" s="34">
        <v>45951</v>
      </c>
      <c r="D1252" s="5" t="s">
        <v>23</v>
      </c>
      <c r="E1252" s="36">
        <v>120</v>
      </c>
      <c r="F1252" s="36">
        <f>E1252-G1252</f>
        <v>0</v>
      </c>
      <c r="G1252" s="36">
        <v>120</v>
      </c>
      <c r="H1252" s="34">
        <v>45954</v>
      </c>
      <c r="I1252" s="34"/>
      <c r="J1252" s="34">
        <v>45953</v>
      </c>
      <c r="K1252" s="34" t="s">
        <v>351</v>
      </c>
      <c r="L1252" s="5" t="s">
        <v>298</v>
      </c>
      <c r="Q1252" s="35"/>
      <c r="R1252" s="35"/>
      <c r="S1252" s="35"/>
      <c r="T1252" s="35"/>
      <c r="U1252" s="35"/>
      <c r="V1252" s="35"/>
      <c r="W1252" s="35"/>
      <c r="X1252" s="35"/>
      <c r="Y1252" s="33">
        <v>120</v>
      </c>
      <c r="Z1252" s="35"/>
      <c r="AA1252" s="35"/>
      <c r="AB1252" s="35"/>
      <c r="AC1252" s="35"/>
      <c r="AD1252" s="35"/>
      <c r="AE1252" s="35"/>
      <c r="AF1252" s="35"/>
      <c r="AG1252" s="35"/>
      <c r="AH1252" s="35"/>
    </row>
    <row r="1253" spans="2:35" x14ac:dyDescent="0.25">
      <c r="B1253" s="5">
        <v>625</v>
      </c>
      <c r="C1253" s="34">
        <v>45944</v>
      </c>
      <c r="D1253" s="5" t="s">
        <v>436</v>
      </c>
      <c r="E1253" s="36">
        <v>157</v>
      </c>
      <c r="F1253" s="36">
        <f>E1253-G1253</f>
        <v>0</v>
      </c>
      <c r="G1253" s="36">
        <v>157</v>
      </c>
      <c r="H1253" s="34">
        <v>45947</v>
      </c>
      <c r="I1253" s="34"/>
      <c r="J1253" s="34">
        <v>45947</v>
      </c>
      <c r="K1253" s="34" t="s">
        <v>330</v>
      </c>
      <c r="L1253" s="34" t="s">
        <v>303</v>
      </c>
      <c r="M1253" s="34"/>
      <c r="Q1253" s="35"/>
      <c r="R1253" s="35"/>
      <c r="S1253" s="35"/>
      <c r="T1253" s="35"/>
      <c r="U1253" s="35"/>
      <c r="V1253" s="35"/>
      <c r="W1253" s="35"/>
      <c r="X1253" s="35"/>
      <c r="Y1253" s="33">
        <v>157</v>
      </c>
      <c r="Z1253" s="35"/>
      <c r="AA1253" s="35"/>
      <c r="AB1253" s="35"/>
      <c r="AC1253" s="35"/>
      <c r="AD1253" s="35"/>
      <c r="AE1253" s="35"/>
      <c r="AF1253" s="35"/>
      <c r="AG1253" s="37"/>
      <c r="AH1253" s="37"/>
    </row>
    <row r="1254" spans="2:35" x14ac:dyDescent="0.25">
      <c r="B1254" s="5">
        <v>646</v>
      </c>
      <c r="C1254" s="34">
        <v>45950</v>
      </c>
      <c r="D1254" s="5" t="s">
        <v>436</v>
      </c>
      <c r="E1254" s="36">
        <v>260</v>
      </c>
      <c r="F1254" s="36">
        <f>E1254-G1254</f>
        <v>0</v>
      </c>
      <c r="G1254" s="36">
        <v>260</v>
      </c>
      <c r="H1254" s="34">
        <v>45957</v>
      </c>
      <c r="I1254" s="34"/>
      <c r="J1254" s="34">
        <v>45952</v>
      </c>
      <c r="K1254" s="34" t="s">
        <v>318</v>
      </c>
      <c r="L1254" s="34" t="s">
        <v>298</v>
      </c>
      <c r="Q1254" s="35"/>
      <c r="R1254" s="35"/>
      <c r="S1254" s="35"/>
      <c r="T1254" s="35"/>
      <c r="U1254" s="35"/>
      <c r="V1254" s="35"/>
      <c r="W1254" s="35"/>
      <c r="X1254" s="35"/>
      <c r="Y1254" s="33">
        <v>260</v>
      </c>
      <c r="Z1254" s="35"/>
      <c r="AA1254" s="35"/>
      <c r="AB1254" s="35"/>
      <c r="AC1254" s="35"/>
      <c r="AD1254" s="35"/>
      <c r="AE1254" s="35"/>
      <c r="AF1254" s="35"/>
      <c r="AG1254" s="35"/>
      <c r="AH1254" s="35"/>
    </row>
    <row r="1255" spans="2:35" x14ac:dyDescent="0.25">
      <c r="B1255" s="5">
        <v>647</v>
      </c>
      <c r="C1255" s="34">
        <v>45950</v>
      </c>
      <c r="D1255" s="5" t="s">
        <v>436</v>
      </c>
      <c r="E1255" s="36">
        <v>60</v>
      </c>
      <c r="F1255" s="36">
        <f>E1255-G1255</f>
        <v>0</v>
      </c>
      <c r="G1255" s="36">
        <v>60</v>
      </c>
      <c r="H1255" s="34">
        <v>45957</v>
      </c>
      <c r="I1255" s="34"/>
      <c r="J1255" s="34">
        <v>45952</v>
      </c>
      <c r="K1255" s="34" t="s">
        <v>313</v>
      </c>
      <c r="L1255" s="34" t="s">
        <v>298</v>
      </c>
      <c r="Q1255" s="35"/>
      <c r="R1255" s="35"/>
      <c r="S1255" s="35"/>
      <c r="T1255" s="35"/>
      <c r="U1255" s="35"/>
      <c r="V1255" s="35"/>
      <c r="W1255" s="35"/>
      <c r="X1255" s="35"/>
      <c r="Y1255" s="33">
        <v>60</v>
      </c>
      <c r="Z1255" s="35"/>
      <c r="AA1255" s="35"/>
      <c r="AB1255" s="35"/>
      <c r="AC1255" s="35"/>
      <c r="AD1255" s="35"/>
      <c r="AE1255" s="35"/>
      <c r="AF1255" s="35"/>
      <c r="AG1255" s="35"/>
      <c r="AH1255" s="35"/>
    </row>
    <row r="1256" spans="2:35" x14ac:dyDescent="0.25">
      <c r="B1256" s="5">
        <v>664</v>
      </c>
      <c r="C1256" s="34">
        <v>45953</v>
      </c>
      <c r="D1256" s="5" t="s">
        <v>185</v>
      </c>
      <c r="E1256" s="36">
        <v>428.19</v>
      </c>
      <c r="F1256" s="36">
        <f>E1256-G1256</f>
        <v>0</v>
      </c>
      <c r="G1256" s="36">
        <v>428.19</v>
      </c>
      <c r="H1256" s="34">
        <v>45961</v>
      </c>
      <c r="I1256" s="34"/>
      <c r="J1256" s="34">
        <v>45953</v>
      </c>
      <c r="K1256" s="34" t="s">
        <v>401</v>
      </c>
      <c r="L1256" s="34" t="s">
        <v>298</v>
      </c>
      <c r="Q1256" s="35"/>
      <c r="R1256" s="35"/>
      <c r="S1256" s="35"/>
      <c r="T1256" s="35"/>
      <c r="U1256" s="35"/>
      <c r="V1256" s="35"/>
      <c r="W1256" s="35"/>
      <c r="X1256" s="35"/>
      <c r="Y1256" s="35"/>
      <c r="Z1256" s="33">
        <v>428.19</v>
      </c>
      <c r="AA1256" s="35"/>
      <c r="AB1256" s="35"/>
      <c r="AC1256" s="35"/>
      <c r="AD1256" s="35"/>
      <c r="AE1256" s="35"/>
      <c r="AF1256" s="35"/>
      <c r="AG1256" s="35"/>
      <c r="AH1256" s="35"/>
      <c r="AI1256" s="34"/>
    </row>
    <row r="1257" spans="2:35" x14ac:dyDescent="0.25">
      <c r="B1257" s="5">
        <v>590</v>
      </c>
      <c r="C1257" s="34">
        <v>45937</v>
      </c>
      <c r="D1257" s="5" t="s">
        <v>435</v>
      </c>
      <c r="E1257" s="36">
        <v>372</v>
      </c>
      <c r="F1257" s="36">
        <f>E1257-G1257</f>
        <v>0</v>
      </c>
      <c r="G1257" s="36">
        <v>372</v>
      </c>
      <c r="H1257" s="34">
        <v>45958</v>
      </c>
      <c r="I1257" s="34"/>
      <c r="J1257" s="34">
        <v>45960</v>
      </c>
      <c r="K1257" s="34" t="s">
        <v>434</v>
      </c>
      <c r="L1257" s="34" t="s">
        <v>309</v>
      </c>
      <c r="M1257" s="34" t="s">
        <v>308</v>
      </c>
      <c r="N1257" s="34" t="s">
        <v>355</v>
      </c>
      <c r="Q1257" s="35"/>
      <c r="R1257" s="35"/>
      <c r="S1257" s="35"/>
      <c r="T1257" s="35"/>
      <c r="U1257" s="35"/>
      <c r="V1257" s="35"/>
      <c r="W1257" s="35"/>
      <c r="X1257" s="33">
        <v>372</v>
      </c>
      <c r="Y1257" s="35"/>
      <c r="Z1257" s="35"/>
      <c r="AA1257" s="35"/>
      <c r="AB1257" s="35"/>
      <c r="AC1257" s="35"/>
      <c r="AD1257" s="35"/>
      <c r="AE1257" s="35"/>
      <c r="AF1257" s="35"/>
      <c r="AG1257" s="37"/>
      <c r="AH1257" s="37"/>
    </row>
    <row r="1258" spans="2:35" x14ac:dyDescent="0.25">
      <c r="B1258" s="5">
        <v>480</v>
      </c>
      <c r="C1258" s="34">
        <v>45863</v>
      </c>
      <c r="D1258" s="5" t="s">
        <v>335</v>
      </c>
      <c r="E1258" s="36">
        <v>1016.9</v>
      </c>
      <c r="F1258" s="36">
        <f>E1258-G1258</f>
        <v>0</v>
      </c>
      <c r="G1258" s="36">
        <v>1016.9</v>
      </c>
      <c r="H1258" s="34">
        <v>45930</v>
      </c>
      <c r="I1258" s="34"/>
      <c r="J1258" s="34">
        <v>45952</v>
      </c>
      <c r="K1258" s="34" t="s">
        <v>389</v>
      </c>
      <c r="L1258" s="34" t="s">
        <v>298</v>
      </c>
      <c r="M1258" s="34"/>
      <c r="N1258" s="39"/>
      <c r="Q1258" s="35"/>
      <c r="R1258" s="35"/>
      <c r="S1258" s="35"/>
      <c r="T1258" s="35"/>
      <c r="U1258" s="35"/>
      <c r="V1258" s="35"/>
      <c r="W1258" s="35"/>
      <c r="X1258" s="35"/>
      <c r="Y1258" s="33">
        <v>1016.9</v>
      </c>
      <c r="Z1258" s="35"/>
      <c r="AA1258" s="35"/>
      <c r="AB1258" s="37"/>
      <c r="AC1258" s="37"/>
      <c r="AD1258" s="37"/>
      <c r="AE1258" s="37"/>
      <c r="AF1258" s="37"/>
      <c r="AG1258" s="37"/>
      <c r="AH1258" s="37"/>
    </row>
    <row r="1259" spans="2:35" x14ac:dyDescent="0.25">
      <c r="B1259" s="5">
        <v>648</v>
      </c>
      <c r="C1259" s="34">
        <v>45950</v>
      </c>
      <c r="D1259" s="5" t="s">
        <v>300</v>
      </c>
      <c r="E1259" s="36">
        <v>70</v>
      </c>
      <c r="F1259" s="36">
        <f>E1259-G1259</f>
        <v>0</v>
      </c>
      <c r="G1259" s="36">
        <v>70</v>
      </c>
      <c r="H1259" s="34">
        <v>45957</v>
      </c>
      <c r="I1259" s="34"/>
      <c r="J1259" s="34">
        <v>45960</v>
      </c>
      <c r="K1259" s="34" t="s">
        <v>304</v>
      </c>
      <c r="L1259" s="34" t="s">
        <v>298</v>
      </c>
      <c r="Q1259" s="35"/>
      <c r="R1259" s="35"/>
      <c r="S1259" s="35"/>
      <c r="T1259" s="35"/>
      <c r="U1259" s="35"/>
      <c r="V1259" s="35"/>
      <c r="W1259" s="35"/>
      <c r="X1259" s="35"/>
      <c r="Y1259" s="35"/>
      <c r="Z1259" s="33">
        <v>70</v>
      </c>
      <c r="AA1259" s="35"/>
      <c r="AB1259" s="35"/>
      <c r="AC1259" s="35"/>
      <c r="AD1259" s="35"/>
      <c r="AE1259" s="35"/>
      <c r="AF1259" s="35"/>
      <c r="AG1259" s="35"/>
      <c r="AH1259" s="35"/>
    </row>
    <row r="1260" spans="2:35" x14ac:dyDescent="0.25">
      <c r="B1260" s="5">
        <v>639</v>
      </c>
      <c r="C1260" s="34">
        <v>45947</v>
      </c>
      <c r="D1260" s="5" t="s">
        <v>177</v>
      </c>
      <c r="E1260" s="36">
        <v>501.49</v>
      </c>
      <c r="F1260" s="36">
        <f>E1260-G1260</f>
        <v>0</v>
      </c>
      <c r="G1260" s="36">
        <v>501.49</v>
      </c>
      <c r="H1260" s="34">
        <v>45954</v>
      </c>
      <c r="I1260" s="34"/>
      <c r="J1260" s="34">
        <v>45960</v>
      </c>
      <c r="K1260" s="34" t="s">
        <v>433</v>
      </c>
      <c r="L1260" s="34" t="s">
        <v>298</v>
      </c>
      <c r="Q1260" s="41"/>
      <c r="R1260" s="43"/>
      <c r="S1260" s="42"/>
      <c r="T1260" s="35"/>
      <c r="U1260" s="35"/>
      <c r="V1260" s="35"/>
      <c r="W1260" s="35"/>
      <c r="X1260" s="35"/>
      <c r="Y1260" s="33">
        <v>501.49</v>
      </c>
      <c r="Z1260" s="35"/>
      <c r="AA1260" s="37"/>
      <c r="AB1260" s="37"/>
      <c r="AC1260" s="37"/>
      <c r="AD1260" s="37"/>
      <c r="AE1260" s="37"/>
      <c r="AF1260" s="37"/>
      <c r="AG1260" s="37"/>
      <c r="AH1260" s="37"/>
    </row>
    <row r="1261" spans="2:35" x14ac:dyDescent="0.25">
      <c r="B1261" s="5">
        <v>661</v>
      </c>
      <c r="C1261" s="34">
        <v>45953</v>
      </c>
      <c r="D1261" s="5" t="s">
        <v>316</v>
      </c>
      <c r="E1261" s="36">
        <v>490.86</v>
      </c>
      <c r="F1261" s="36">
        <f>E1261-G1261</f>
        <v>0</v>
      </c>
      <c r="G1261" s="36">
        <v>490.86</v>
      </c>
      <c r="H1261" s="34">
        <v>45954</v>
      </c>
      <c r="I1261" s="34"/>
      <c r="J1261" s="34">
        <v>45958</v>
      </c>
      <c r="K1261" s="34" t="s">
        <v>432</v>
      </c>
      <c r="L1261" s="34" t="s">
        <v>309</v>
      </c>
      <c r="M1261" s="34" t="s">
        <v>308</v>
      </c>
      <c r="Q1261" s="35"/>
      <c r="R1261" s="35"/>
      <c r="S1261" s="35"/>
      <c r="T1261" s="35"/>
      <c r="U1261" s="35"/>
      <c r="V1261" s="35"/>
      <c r="W1261" s="35"/>
      <c r="X1261" s="35"/>
      <c r="Y1261" s="33">
        <v>490.86</v>
      </c>
      <c r="Z1261" s="35"/>
      <c r="AA1261" s="35"/>
      <c r="AB1261" s="35"/>
      <c r="AC1261" s="35"/>
      <c r="AD1261" s="35"/>
      <c r="AE1261" s="35"/>
      <c r="AF1261" s="35"/>
      <c r="AG1261" s="35"/>
      <c r="AH1261" s="35"/>
    </row>
    <row r="1262" spans="2:35" x14ac:dyDescent="0.25">
      <c r="B1262" s="5">
        <v>665</v>
      </c>
      <c r="C1262" s="34">
        <v>45953</v>
      </c>
      <c r="D1262" s="5" t="s">
        <v>370</v>
      </c>
      <c r="E1262" s="36">
        <v>699.82</v>
      </c>
      <c r="F1262" s="36">
        <f>E1262-G1262</f>
        <v>0</v>
      </c>
      <c r="G1262" s="36">
        <v>699.82</v>
      </c>
      <c r="H1262" s="34">
        <v>45961</v>
      </c>
      <c r="I1262" s="34"/>
      <c r="J1262" s="34">
        <v>45960</v>
      </c>
      <c r="K1262" s="34" t="s">
        <v>431</v>
      </c>
      <c r="L1262" s="5" t="s">
        <v>303</v>
      </c>
      <c r="Q1262" s="35"/>
      <c r="R1262" s="35"/>
      <c r="S1262" s="35"/>
      <c r="T1262" s="35"/>
      <c r="U1262" s="35"/>
      <c r="V1262" s="35"/>
      <c r="W1262" s="35"/>
      <c r="X1262" s="35"/>
      <c r="Y1262" s="35"/>
      <c r="Z1262" s="33">
        <v>699.82</v>
      </c>
      <c r="AA1262" s="35"/>
      <c r="AB1262" s="35"/>
      <c r="AC1262" s="35"/>
      <c r="AD1262" s="35"/>
      <c r="AE1262" s="35"/>
      <c r="AF1262" s="35"/>
      <c r="AG1262" s="35"/>
      <c r="AH1262" s="35"/>
    </row>
    <row r="1263" spans="2:35" x14ac:dyDescent="0.25">
      <c r="B1263" s="5">
        <v>475</v>
      </c>
      <c r="C1263" s="34">
        <v>45861</v>
      </c>
      <c r="D1263" s="5" t="s">
        <v>408</v>
      </c>
      <c r="E1263" s="36">
        <v>124900</v>
      </c>
      <c r="F1263" s="36">
        <f>E1263-G1263</f>
        <v>0</v>
      </c>
      <c r="G1263" s="36">
        <v>124900</v>
      </c>
      <c r="H1263" s="34">
        <v>45960</v>
      </c>
      <c r="I1263" s="34"/>
      <c r="J1263" s="34">
        <v>45961</v>
      </c>
      <c r="K1263" s="34" t="s">
        <v>348</v>
      </c>
      <c r="L1263" s="34" t="s">
        <v>309</v>
      </c>
      <c r="M1263" s="34" t="s">
        <v>308</v>
      </c>
      <c r="N1263" s="34" t="s">
        <v>430</v>
      </c>
      <c r="Q1263" s="35"/>
      <c r="R1263" s="35"/>
      <c r="S1263" s="35"/>
      <c r="T1263" s="35"/>
      <c r="U1263" s="35"/>
      <c r="V1263" s="35"/>
      <c r="W1263" s="35"/>
      <c r="X1263" s="40">
        <v>87430</v>
      </c>
      <c r="Y1263" s="35"/>
      <c r="Z1263" s="35"/>
      <c r="AA1263" s="40">
        <v>37470</v>
      </c>
      <c r="AB1263" s="37"/>
      <c r="AC1263" s="37"/>
      <c r="AD1263" s="37"/>
      <c r="AE1263" s="37"/>
      <c r="AF1263" s="37"/>
      <c r="AG1263" s="37"/>
      <c r="AH1263" s="37"/>
    </row>
    <row r="1264" spans="2:35" x14ac:dyDescent="0.25">
      <c r="B1264" s="5">
        <v>423</v>
      </c>
      <c r="C1264" s="34">
        <v>45834</v>
      </c>
      <c r="D1264" s="5" t="s">
        <v>249</v>
      </c>
      <c r="E1264" s="36">
        <v>195000</v>
      </c>
      <c r="F1264" s="36">
        <f>E1264-G1264</f>
        <v>0</v>
      </c>
      <c r="G1264" s="36">
        <v>195000</v>
      </c>
      <c r="H1264" s="34">
        <v>45960</v>
      </c>
      <c r="I1264" s="34"/>
      <c r="J1264" s="34">
        <v>45961</v>
      </c>
      <c r="K1264" s="34" t="s">
        <v>348</v>
      </c>
      <c r="L1264" s="34" t="s">
        <v>309</v>
      </c>
      <c r="M1264" s="34" t="s">
        <v>308</v>
      </c>
      <c r="N1264" s="34" t="s">
        <v>430</v>
      </c>
      <c r="Q1264" s="35"/>
      <c r="R1264" s="35"/>
      <c r="S1264" s="35"/>
      <c r="T1264" s="35"/>
      <c r="U1264" s="35"/>
      <c r="V1264" s="40">
        <v>58500</v>
      </c>
      <c r="W1264" s="35"/>
      <c r="X1264" s="35"/>
      <c r="Y1264" s="40">
        <v>78000</v>
      </c>
      <c r="Z1264" s="40">
        <v>58500</v>
      </c>
      <c r="AA1264" s="35"/>
      <c r="AB1264" s="35"/>
      <c r="AC1264" s="35"/>
      <c r="AD1264" s="35"/>
      <c r="AE1264" s="35"/>
      <c r="AF1264" s="35"/>
      <c r="AG1264" s="35"/>
      <c r="AH1264" s="35"/>
    </row>
    <row r="1265" spans="2:34" x14ac:dyDescent="0.25">
      <c r="B1265" s="5">
        <v>477</v>
      </c>
      <c r="C1265" s="34">
        <v>45862</v>
      </c>
      <c r="D1265" s="5" t="s">
        <v>428</v>
      </c>
      <c r="E1265" s="36">
        <f>'ORDINI EVASI (3)'!O1265*'[1]ORDINI COMMESSE E VARIE'!N2</f>
        <v>600.29999999999995</v>
      </c>
      <c r="F1265" s="36">
        <f>E1265-G1265</f>
        <v>0</v>
      </c>
      <c r="G1265" s="36">
        <v>600.29999999999995</v>
      </c>
      <c r="H1265" s="34">
        <v>45899</v>
      </c>
      <c r="I1265" s="34"/>
      <c r="J1265" s="34">
        <v>45943</v>
      </c>
      <c r="K1265" s="34" t="s">
        <v>313</v>
      </c>
      <c r="L1265" s="34" t="s">
        <v>298</v>
      </c>
      <c r="M1265" s="34"/>
      <c r="N1265" s="39" t="s">
        <v>429</v>
      </c>
      <c r="O1265" s="47">
        <v>690</v>
      </c>
      <c r="Q1265" s="35"/>
      <c r="R1265" s="35"/>
      <c r="S1265" s="35"/>
      <c r="T1265" s="35"/>
      <c r="U1265" s="46">
        <v>593.4</v>
      </c>
      <c r="V1265" s="35"/>
      <c r="W1265" s="35"/>
      <c r="X1265" s="35"/>
      <c r="Y1265" s="35"/>
      <c r="Z1265" s="35"/>
      <c r="AA1265" s="35"/>
      <c r="AB1265" s="37"/>
      <c r="AC1265" s="37"/>
      <c r="AD1265" s="37"/>
      <c r="AE1265" s="37"/>
    </row>
    <row r="1266" spans="2:34" x14ac:dyDescent="0.25">
      <c r="B1266" s="5">
        <v>522</v>
      </c>
      <c r="C1266" s="34">
        <v>45902</v>
      </c>
      <c r="D1266" s="5" t="s">
        <v>428</v>
      </c>
      <c r="E1266" s="36">
        <f>'ORDINI EVASI (3)'!O1266*'[1]ORDINI COMMESSE E VARIE'!N2</f>
        <v>321.89999999999998</v>
      </c>
      <c r="F1266" s="36">
        <f>E1266-G1266</f>
        <v>0</v>
      </c>
      <c r="G1266" s="36">
        <v>321.89999999999998</v>
      </c>
      <c r="H1266" s="34">
        <v>45919</v>
      </c>
      <c r="I1266" s="34"/>
      <c r="J1266" s="34">
        <v>45943</v>
      </c>
      <c r="K1266" s="34" t="s">
        <v>313</v>
      </c>
      <c r="L1266" s="34" t="s">
        <v>298</v>
      </c>
      <c r="M1266" s="34"/>
      <c r="N1266" s="39" t="s">
        <v>427</v>
      </c>
      <c r="O1266" s="47">
        <v>370</v>
      </c>
      <c r="Q1266" s="35"/>
      <c r="R1266" s="35"/>
      <c r="S1266" s="35"/>
      <c r="T1266" s="35"/>
      <c r="U1266" s="35"/>
      <c r="V1266" s="35"/>
      <c r="W1266" s="56">
        <v>318.2</v>
      </c>
      <c r="X1266" s="35"/>
      <c r="Y1266" s="35"/>
      <c r="Z1266" s="35"/>
      <c r="AA1266" s="35"/>
      <c r="AB1266" s="37"/>
      <c r="AC1266" s="37"/>
      <c r="AD1266" s="37"/>
      <c r="AE1266" s="37"/>
    </row>
    <row r="1267" spans="2:34" x14ac:dyDescent="0.25">
      <c r="B1267" s="5">
        <v>508</v>
      </c>
      <c r="C1267" s="34">
        <v>45876</v>
      </c>
      <c r="D1267" s="5" t="s">
        <v>426</v>
      </c>
      <c r="E1267" s="36">
        <v>3470</v>
      </c>
      <c r="F1267" s="36">
        <f>E1267-G1267</f>
        <v>0</v>
      </c>
      <c r="G1267" s="36">
        <v>3470</v>
      </c>
      <c r="H1267" s="34">
        <v>45961</v>
      </c>
      <c r="I1267" s="34"/>
      <c r="J1267" s="34">
        <v>45960</v>
      </c>
      <c r="K1267" s="34" t="s">
        <v>348</v>
      </c>
      <c r="L1267" s="34" t="s">
        <v>298</v>
      </c>
      <c r="Q1267" s="35"/>
      <c r="R1267" s="35"/>
      <c r="S1267" s="35"/>
      <c r="T1267" s="35"/>
      <c r="U1267" s="35"/>
      <c r="V1267" s="35"/>
      <c r="W1267" s="35"/>
      <c r="X1267" s="35"/>
      <c r="Y1267" s="33">
        <v>3470</v>
      </c>
      <c r="Z1267" s="35"/>
      <c r="AA1267" s="35"/>
      <c r="AB1267" s="37"/>
      <c r="AC1267" s="37"/>
      <c r="AD1267" s="37"/>
      <c r="AE1267" s="37"/>
      <c r="AF1267" s="35"/>
    </row>
    <row r="1268" spans="2:34" x14ac:dyDescent="0.25">
      <c r="B1268" s="5">
        <v>469</v>
      </c>
      <c r="C1268" s="34">
        <v>45856</v>
      </c>
      <c r="D1268" s="5" t="s">
        <v>425</v>
      </c>
      <c r="E1268" s="36">
        <v>8054.6</v>
      </c>
      <c r="F1268" s="36">
        <f>E1268-G1268</f>
        <v>0</v>
      </c>
      <c r="G1268" s="36">
        <v>8054.6</v>
      </c>
      <c r="H1268" s="34">
        <v>45940</v>
      </c>
      <c r="I1268" s="34"/>
      <c r="J1268" s="34">
        <v>45960</v>
      </c>
      <c r="K1268" s="34" t="s">
        <v>424</v>
      </c>
      <c r="L1268" s="34" t="s">
        <v>309</v>
      </c>
      <c r="M1268" s="34" t="s">
        <v>308</v>
      </c>
      <c r="N1268" s="39" t="s">
        <v>423</v>
      </c>
      <c r="Q1268" s="35"/>
      <c r="R1268" s="35"/>
      <c r="S1268" s="35"/>
      <c r="T1268" s="35"/>
      <c r="U1268" s="35"/>
      <c r="V1268" s="35"/>
      <c r="W1268" s="33">
        <v>4406.3999999999996</v>
      </c>
      <c r="X1268" s="35"/>
      <c r="Y1268" s="35"/>
      <c r="Z1268" s="35"/>
      <c r="AA1268" s="35"/>
      <c r="AB1268" s="37"/>
      <c r="AC1268" s="37"/>
      <c r="AD1268" s="37"/>
      <c r="AE1268" s="37"/>
    </row>
    <row r="1269" spans="2:34" x14ac:dyDescent="0.25">
      <c r="B1269" s="5">
        <v>503</v>
      </c>
      <c r="C1269" s="34">
        <v>45876</v>
      </c>
      <c r="D1269" s="5" t="s">
        <v>182</v>
      </c>
      <c r="E1269" s="36">
        <v>52812.99</v>
      </c>
      <c r="F1269" s="36">
        <f>E1269-G1269</f>
        <v>0</v>
      </c>
      <c r="G1269" s="36">
        <v>52812.99</v>
      </c>
      <c r="H1269" s="34">
        <v>45961</v>
      </c>
      <c r="I1269" s="34"/>
      <c r="J1269" s="34">
        <v>45960</v>
      </c>
      <c r="K1269" s="34" t="s">
        <v>348</v>
      </c>
      <c r="L1269" s="34" t="s">
        <v>309</v>
      </c>
      <c r="M1269" s="34" t="s">
        <v>308</v>
      </c>
      <c r="N1269" s="34" t="s">
        <v>422</v>
      </c>
      <c r="Q1269" s="35"/>
      <c r="R1269" s="35"/>
      <c r="S1269" s="35"/>
      <c r="T1269" s="35"/>
      <c r="U1269" s="35"/>
      <c r="V1269" s="35"/>
      <c r="W1269" s="40">
        <v>5281.3</v>
      </c>
      <c r="X1269" s="40">
        <v>21125.200000000001</v>
      </c>
      <c r="Y1269" s="55">
        <v>26406.5</v>
      </c>
      <c r="Z1269" s="54"/>
      <c r="AA1269" s="35"/>
      <c r="AB1269" s="37"/>
      <c r="AC1269" s="37"/>
      <c r="AD1269" s="37"/>
      <c r="AE1269" s="37"/>
    </row>
    <row r="1270" spans="2:34" x14ac:dyDescent="0.25">
      <c r="B1270" s="5">
        <v>637</v>
      </c>
      <c r="C1270" s="34">
        <v>45946</v>
      </c>
      <c r="D1270" s="5" t="s">
        <v>371</v>
      </c>
      <c r="E1270" s="36">
        <v>1967</v>
      </c>
      <c r="F1270" s="36">
        <f>E1270-G1270</f>
        <v>0</v>
      </c>
      <c r="G1270" s="36">
        <v>1967</v>
      </c>
      <c r="H1270" s="34">
        <v>45961</v>
      </c>
      <c r="I1270" s="34"/>
      <c r="J1270" s="34">
        <v>45960</v>
      </c>
      <c r="K1270" s="34" t="s">
        <v>348</v>
      </c>
      <c r="L1270" s="34" t="s">
        <v>298</v>
      </c>
      <c r="M1270" s="34"/>
      <c r="N1270" s="34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3">
        <v>1967</v>
      </c>
      <c r="AB1270" s="35"/>
      <c r="AC1270" s="35"/>
      <c r="AD1270" s="35"/>
      <c r="AE1270" s="35"/>
      <c r="AF1270" s="35"/>
      <c r="AG1270" s="35"/>
      <c r="AH1270" s="35"/>
    </row>
    <row r="1271" spans="2:34" x14ac:dyDescent="0.25">
      <c r="B1271" s="5">
        <v>634</v>
      </c>
      <c r="C1271" s="34">
        <v>45945</v>
      </c>
      <c r="D1271" s="5" t="s">
        <v>300</v>
      </c>
      <c r="E1271" s="36">
        <v>335.5</v>
      </c>
      <c r="F1271" s="36">
        <f>E1271-G1271</f>
        <v>0</v>
      </c>
      <c r="G1271" s="36">
        <v>335.5</v>
      </c>
      <c r="H1271" s="34">
        <v>45952</v>
      </c>
      <c r="I1271" s="34"/>
      <c r="J1271" s="34">
        <v>45959</v>
      </c>
      <c r="K1271" s="34" t="s">
        <v>351</v>
      </c>
      <c r="L1271" s="34" t="s">
        <v>298</v>
      </c>
      <c r="Q1271" s="35"/>
      <c r="R1271" s="35"/>
      <c r="S1271" s="35"/>
      <c r="T1271" s="35"/>
      <c r="U1271" s="35"/>
      <c r="V1271" s="35"/>
      <c r="W1271" s="35"/>
      <c r="X1271" s="35"/>
      <c r="Y1271" s="35"/>
      <c r="Z1271" s="33">
        <v>335.5</v>
      </c>
      <c r="AA1271" s="35"/>
      <c r="AB1271" s="35"/>
      <c r="AC1271" s="35"/>
      <c r="AD1271" s="35"/>
      <c r="AE1271" s="35"/>
      <c r="AF1271" s="35"/>
      <c r="AG1271" s="35"/>
      <c r="AH1271" s="35"/>
    </row>
    <row r="1272" spans="2:34" x14ac:dyDescent="0.25">
      <c r="B1272" s="5">
        <v>640</v>
      </c>
      <c r="C1272" s="34">
        <v>45947</v>
      </c>
      <c r="D1272" s="5" t="s">
        <v>300</v>
      </c>
      <c r="E1272" s="36">
        <v>1534.5</v>
      </c>
      <c r="F1272" s="36">
        <f>E1272-G1272</f>
        <v>0</v>
      </c>
      <c r="G1272" s="36">
        <v>1534.5</v>
      </c>
      <c r="H1272" s="34">
        <v>45954</v>
      </c>
      <c r="I1272" s="34"/>
      <c r="J1272" s="34">
        <v>45960</v>
      </c>
      <c r="K1272" s="34" t="s">
        <v>330</v>
      </c>
      <c r="L1272" s="34" t="s">
        <v>298</v>
      </c>
      <c r="Q1272" s="35"/>
      <c r="R1272" s="35"/>
      <c r="S1272" s="35"/>
      <c r="T1272" s="35"/>
      <c r="U1272" s="35"/>
      <c r="V1272" s="35"/>
      <c r="W1272" s="35"/>
      <c r="X1272" s="35"/>
      <c r="Y1272" s="35"/>
      <c r="Z1272" s="33">
        <v>1534.5</v>
      </c>
      <c r="AA1272" s="35"/>
      <c r="AB1272" s="35"/>
      <c r="AC1272" s="35"/>
      <c r="AD1272" s="35"/>
      <c r="AE1272" s="35"/>
      <c r="AF1272" s="35"/>
      <c r="AG1272" s="35"/>
      <c r="AH1272" s="35"/>
    </row>
    <row r="1273" spans="2:34" x14ac:dyDescent="0.25">
      <c r="B1273" s="5">
        <v>562</v>
      </c>
      <c r="C1273" s="34">
        <v>45925</v>
      </c>
      <c r="D1273" s="5" t="s">
        <v>300</v>
      </c>
      <c r="E1273" s="36">
        <v>793.6</v>
      </c>
      <c r="F1273" s="36">
        <f>E1273-G1273</f>
        <v>0</v>
      </c>
      <c r="G1273" s="36">
        <v>793.6</v>
      </c>
      <c r="H1273" s="34">
        <v>45933</v>
      </c>
      <c r="I1273" s="34"/>
      <c r="J1273" s="34">
        <v>45959</v>
      </c>
      <c r="K1273" s="34" t="s">
        <v>351</v>
      </c>
      <c r="L1273" s="34" t="s">
        <v>298</v>
      </c>
      <c r="Q1273" s="35"/>
      <c r="R1273" s="35"/>
      <c r="S1273" s="35"/>
      <c r="T1273" s="35"/>
      <c r="U1273" s="35"/>
      <c r="V1273" s="35"/>
      <c r="W1273" s="35"/>
      <c r="X1273" s="35"/>
      <c r="Y1273" s="35"/>
      <c r="Z1273" s="33">
        <v>793.6</v>
      </c>
      <c r="AA1273" s="35"/>
      <c r="AB1273" s="35"/>
      <c r="AC1273" s="35"/>
      <c r="AD1273" s="35"/>
      <c r="AE1273" s="35"/>
      <c r="AF1273" s="35"/>
      <c r="AG1273" s="35"/>
      <c r="AH1273" s="35"/>
    </row>
    <row r="1274" spans="2:34" x14ac:dyDescent="0.25">
      <c r="B1274" s="5">
        <v>605</v>
      </c>
      <c r="C1274" s="34">
        <v>45939</v>
      </c>
      <c r="D1274" s="5" t="s">
        <v>300</v>
      </c>
      <c r="E1274" s="36">
        <v>131.5</v>
      </c>
      <c r="F1274" s="36">
        <f>E1274-G1274</f>
        <v>0</v>
      </c>
      <c r="G1274" s="36">
        <v>131.5</v>
      </c>
      <c r="H1274" s="34">
        <v>45947</v>
      </c>
      <c r="I1274" s="34"/>
      <c r="J1274" s="34">
        <v>45958</v>
      </c>
      <c r="K1274" s="34" t="s">
        <v>351</v>
      </c>
      <c r="L1274" s="34" t="s">
        <v>298</v>
      </c>
      <c r="Q1274" s="35"/>
      <c r="R1274" s="35"/>
      <c r="S1274" s="35"/>
      <c r="T1274" s="35"/>
      <c r="U1274" s="35"/>
      <c r="V1274" s="35"/>
      <c r="W1274" s="35"/>
      <c r="X1274" s="35"/>
      <c r="Y1274" s="35"/>
      <c r="Z1274" s="33">
        <v>131.5</v>
      </c>
      <c r="AA1274" s="35"/>
      <c r="AB1274" s="35"/>
      <c r="AC1274" s="35"/>
      <c r="AD1274" s="35"/>
      <c r="AE1274" s="35"/>
      <c r="AF1274" s="35"/>
      <c r="AG1274" s="35"/>
      <c r="AH1274" s="35"/>
    </row>
    <row r="1275" spans="2:34" x14ac:dyDescent="0.25">
      <c r="B1275" s="5">
        <v>654</v>
      </c>
      <c r="C1275" s="34">
        <v>45951</v>
      </c>
      <c r="D1275" s="5" t="s">
        <v>300</v>
      </c>
      <c r="E1275" s="36">
        <v>161</v>
      </c>
      <c r="F1275" s="36">
        <f>E1275-G1275</f>
        <v>0</v>
      </c>
      <c r="G1275" s="36">
        <v>161</v>
      </c>
      <c r="H1275" s="34">
        <v>45954</v>
      </c>
      <c r="I1275" s="34"/>
      <c r="J1275" s="34">
        <v>45959</v>
      </c>
      <c r="K1275" s="34" t="s">
        <v>313</v>
      </c>
      <c r="L1275" s="34" t="s">
        <v>298</v>
      </c>
      <c r="Q1275" s="35"/>
      <c r="R1275" s="35"/>
      <c r="S1275" s="35"/>
      <c r="T1275" s="35"/>
      <c r="U1275" s="35"/>
      <c r="V1275" s="35"/>
      <c r="W1275" s="35"/>
      <c r="X1275" s="35"/>
      <c r="Y1275" s="35"/>
      <c r="Z1275" s="33">
        <v>161</v>
      </c>
      <c r="AA1275" s="35"/>
      <c r="AB1275" s="35"/>
      <c r="AC1275" s="35"/>
      <c r="AD1275" s="35"/>
      <c r="AE1275" s="35"/>
      <c r="AF1275" s="35"/>
      <c r="AG1275" s="35"/>
      <c r="AH1275" s="35"/>
    </row>
    <row r="1276" spans="2:34" x14ac:dyDescent="0.25">
      <c r="B1276" s="5">
        <v>622</v>
      </c>
      <c r="C1276" s="34">
        <v>45944</v>
      </c>
      <c r="D1276" s="5" t="s">
        <v>421</v>
      </c>
      <c r="E1276" s="36">
        <v>1500</v>
      </c>
      <c r="F1276" s="36">
        <f>E1276-G1276</f>
        <v>0</v>
      </c>
      <c r="G1276" s="36">
        <v>1500</v>
      </c>
      <c r="H1276" s="34">
        <v>45961</v>
      </c>
      <c r="I1276" s="34"/>
      <c r="J1276" s="34">
        <v>45959</v>
      </c>
      <c r="K1276" s="34" t="s">
        <v>382</v>
      </c>
      <c r="L1276" s="34" t="s">
        <v>298</v>
      </c>
      <c r="Q1276" s="44"/>
      <c r="R1276" s="44"/>
      <c r="S1276" s="44"/>
      <c r="T1276" s="44"/>
      <c r="U1276" s="44"/>
      <c r="V1276" s="44"/>
      <c r="W1276" s="44"/>
      <c r="X1276" s="44"/>
      <c r="Y1276" s="36">
        <v>1500</v>
      </c>
      <c r="Z1276" s="44"/>
      <c r="AA1276" s="37"/>
      <c r="AB1276" s="37"/>
      <c r="AC1276" s="37"/>
      <c r="AD1276" s="37"/>
      <c r="AE1276" s="37"/>
      <c r="AF1276" s="37"/>
      <c r="AG1276" s="35"/>
      <c r="AH1276" s="35"/>
    </row>
    <row r="1277" spans="2:34" x14ac:dyDescent="0.25">
      <c r="B1277" s="5">
        <v>662</v>
      </c>
      <c r="C1277" s="34">
        <v>45953</v>
      </c>
      <c r="D1277" s="5" t="s">
        <v>420</v>
      </c>
      <c r="E1277" s="36">
        <v>220</v>
      </c>
      <c r="F1277" s="36">
        <f>E1277-G1277</f>
        <v>0</v>
      </c>
      <c r="G1277" s="36">
        <v>220</v>
      </c>
      <c r="H1277" s="34">
        <v>45961</v>
      </c>
      <c r="I1277" s="34"/>
      <c r="J1277" s="34">
        <v>45964</v>
      </c>
      <c r="K1277" s="34" t="s">
        <v>401</v>
      </c>
      <c r="L1277" s="34" t="s">
        <v>298</v>
      </c>
      <c r="Q1277" s="35"/>
      <c r="R1277" s="35"/>
      <c r="S1277" s="35"/>
      <c r="T1277" s="35"/>
      <c r="U1277" s="35"/>
      <c r="V1277" s="35"/>
      <c r="W1277" s="35"/>
      <c r="X1277" s="35"/>
      <c r="Y1277" s="33">
        <v>220</v>
      </c>
      <c r="Z1277" s="35"/>
      <c r="AA1277" s="35"/>
      <c r="AB1277" s="35"/>
      <c r="AC1277" s="35"/>
      <c r="AD1277" s="35"/>
      <c r="AE1277" s="35"/>
      <c r="AF1277" s="35"/>
      <c r="AG1277" s="35"/>
      <c r="AH1277" s="35"/>
    </row>
    <row r="1278" spans="2:34" x14ac:dyDescent="0.25">
      <c r="B1278" s="5">
        <v>692</v>
      </c>
      <c r="C1278" s="34">
        <v>45961</v>
      </c>
      <c r="D1278" s="5" t="s">
        <v>335</v>
      </c>
      <c r="E1278" s="36">
        <v>638.62</v>
      </c>
      <c r="F1278" s="36">
        <f>E1278-G1278</f>
        <v>0</v>
      </c>
      <c r="G1278" s="36">
        <v>638.62</v>
      </c>
      <c r="H1278" s="34">
        <v>45961</v>
      </c>
      <c r="I1278" s="34"/>
      <c r="J1278" s="34">
        <v>45960</v>
      </c>
      <c r="K1278" s="34" t="s">
        <v>354</v>
      </c>
      <c r="L1278" s="34" t="s">
        <v>298</v>
      </c>
      <c r="Q1278" s="35"/>
      <c r="R1278" s="35"/>
      <c r="S1278" s="35"/>
      <c r="T1278" s="35"/>
      <c r="U1278" s="35"/>
      <c r="V1278" s="35"/>
      <c r="W1278" s="35"/>
      <c r="X1278" s="35"/>
      <c r="Y1278" s="33">
        <v>638.62</v>
      </c>
      <c r="Z1278" s="35"/>
      <c r="AA1278" s="35"/>
      <c r="AB1278" s="35"/>
      <c r="AC1278" s="35"/>
      <c r="AD1278" s="35"/>
      <c r="AE1278" s="35"/>
      <c r="AF1278" s="35"/>
      <c r="AG1278" s="35"/>
      <c r="AH1278" s="35"/>
    </row>
    <row r="1279" spans="2:34" x14ac:dyDescent="0.25">
      <c r="B1279" s="5">
        <v>645</v>
      </c>
      <c r="C1279" s="34">
        <v>45950</v>
      </c>
      <c r="D1279" s="5" t="s">
        <v>23</v>
      </c>
      <c r="E1279" s="36">
        <v>356.29</v>
      </c>
      <c r="F1279" s="36">
        <f>E1279-G1279</f>
        <v>0</v>
      </c>
      <c r="G1279" s="36">
        <v>356.29</v>
      </c>
      <c r="H1279" s="34">
        <v>45966</v>
      </c>
      <c r="I1279" s="34"/>
      <c r="J1279" s="34">
        <v>45964</v>
      </c>
      <c r="K1279" s="34" t="s">
        <v>351</v>
      </c>
      <c r="L1279" s="34" t="s">
        <v>298</v>
      </c>
      <c r="Q1279" s="35"/>
      <c r="R1279" s="35"/>
      <c r="S1279" s="35"/>
      <c r="T1279" s="35"/>
      <c r="U1279" s="35"/>
      <c r="V1279" s="35"/>
      <c r="W1279" s="35"/>
      <c r="X1279" s="35"/>
      <c r="Y1279" s="35"/>
      <c r="Z1279" s="33">
        <v>356.29</v>
      </c>
      <c r="AA1279" s="35"/>
      <c r="AB1279" s="35"/>
      <c r="AC1279" s="35"/>
      <c r="AD1279" s="35"/>
      <c r="AE1279" s="35"/>
      <c r="AF1279" s="35"/>
      <c r="AG1279" s="35"/>
      <c r="AH1279" s="35"/>
    </row>
    <row r="1280" spans="2:34" x14ac:dyDescent="0.25">
      <c r="B1280" s="5">
        <v>604</v>
      </c>
      <c r="C1280" s="34">
        <v>45939</v>
      </c>
      <c r="D1280" s="5" t="s">
        <v>402</v>
      </c>
      <c r="E1280" s="36">
        <v>397.5</v>
      </c>
      <c r="F1280" s="36">
        <f>E1280-G1280</f>
        <v>0</v>
      </c>
      <c r="G1280" s="36">
        <v>397.5</v>
      </c>
      <c r="H1280" s="34">
        <v>45968</v>
      </c>
      <c r="I1280" s="34"/>
      <c r="J1280" s="34">
        <v>45961</v>
      </c>
      <c r="K1280" s="34" t="s">
        <v>419</v>
      </c>
      <c r="L1280" s="34" t="s">
        <v>309</v>
      </c>
      <c r="M1280" s="34" t="s">
        <v>308</v>
      </c>
      <c r="Q1280" s="35"/>
      <c r="R1280" s="35"/>
      <c r="S1280" s="35"/>
      <c r="T1280" s="35"/>
      <c r="U1280" s="35"/>
      <c r="V1280" s="35"/>
      <c r="W1280" s="35"/>
      <c r="X1280" s="35"/>
      <c r="Y1280" s="35"/>
      <c r="Z1280" s="36">
        <v>397.5</v>
      </c>
      <c r="AA1280" s="35"/>
      <c r="AB1280" s="35"/>
      <c r="AC1280" s="35"/>
      <c r="AD1280" s="35"/>
      <c r="AE1280" s="35"/>
      <c r="AF1280" s="35"/>
      <c r="AG1280" s="35"/>
      <c r="AH1280" s="35"/>
    </row>
    <row r="1281" spans="2:35" x14ac:dyDescent="0.25">
      <c r="B1281" s="5">
        <v>574</v>
      </c>
      <c r="C1281" s="34">
        <v>45930</v>
      </c>
      <c r="D1281" s="5" t="s">
        <v>418</v>
      </c>
      <c r="E1281" s="36">
        <v>511.6</v>
      </c>
      <c r="F1281" s="36">
        <f>E1281-G1281</f>
        <v>0</v>
      </c>
      <c r="G1281" s="36">
        <v>511.6</v>
      </c>
      <c r="H1281" s="34">
        <v>45961</v>
      </c>
      <c r="I1281" s="34"/>
      <c r="J1281" s="34">
        <v>45959</v>
      </c>
      <c r="K1281" s="34" t="s">
        <v>396</v>
      </c>
      <c r="L1281" s="34" t="s">
        <v>298</v>
      </c>
      <c r="M1281" s="34"/>
      <c r="N1281" s="45"/>
      <c r="Q1281" s="35"/>
      <c r="R1281" s="35"/>
      <c r="S1281" s="35"/>
      <c r="T1281" s="35"/>
      <c r="U1281" s="35"/>
      <c r="V1281" s="35"/>
      <c r="W1281" s="35"/>
      <c r="X1281" s="35"/>
      <c r="Y1281" s="33">
        <v>511.6</v>
      </c>
      <c r="Z1281" s="35"/>
      <c r="AA1281" s="35"/>
      <c r="AB1281" s="35"/>
      <c r="AC1281" s="35"/>
      <c r="AD1281" s="35"/>
      <c r="AE1281" s="35"/>
      <c r="AF1281" s="35"/>
      <c r="AG1281" s="37"/>
      <c r="AH1281" s="37"/>
    </row>
    <row r="1282" spans="2:35" x14ac:dyDescent="0.25">
      <c r="B1282" s="5">
        <v>527</v>
      </c>
      <c r="C1282" s="34">
        <v>45580</v>
      </c>
      <c r="D1282" s="5" t="s">
        <v>417</v>
      </c>
      <c r="E1282" s="36">
        <v>45700</v>
      </c>
      <c r="F1282" s="36">
        <f>E1282-G1282</f>
        <v>0</v>
      </c>
      <c r="G1282" s="36">
        <v>45700</v>
      </c>
      <c r="H1282" s="34">
        <v>45731</v>
      </c>
      <c r="I1282" s="34"/>
      <c r="J1282" s="34">
        <v>45965</v>
      </c>
      <c r="K1282" s="5" t="s">
        <v>416</v>
      </c>
      <c r="L1282" s="5" t="s">
        <v>298</v>
      </c>
      <c r="N1282" s="53" t="s">
        <v>415</v>
      </c>
      <c r="Q1282" s="41"/>
      <c r="R1282" s="42"/>
      <c r="S1282" s="42"/>
      <c r="T1282" s="35"/>
      <c r="U1282" s="35"/>
      <c r="V1282" s="35"/>
      <c r="W1282" s="35"/>
      <c r="X1282" s="35"/>
      <c r="Y1282" s="35"/>
      <c r="Z1282" s="36">
        <v>45700</v>
      </c>
      <c r="AA1282" s="37"/>
      <c r="AB1282" s="37"/>
      <c r="AC1282" s="37"/>
      <c r="AD1282" s="37"/>
      <c r="AE1282" s="37"/>
      <c r="AF1282" s="37"/>
      <c r="AG1282" s="37"/>
      <c r="AH1282" s="37"/>
    </row>
    <row r="1283" spans="2:35" x14ac:dyDescent="0.25">
      <c r="B1283" s="5">
        <v>685</v>
      </c>
      <c r="C1283" s="34">
        <v>45960</v>
      </c>
      <c r="D1283" s="5" t="s">
        <v>328</v>
      </c>
      <c r="E1283" s="36">
        <v>560.9</v>
      </c>
      <c r="F1283" s="36">
        <f>E1283-G1283</f>
        <v>0</v>
      </c>
      <c r="G1283" s="36">
        <v>560.9</v>
      </c>
      <c r="H1283" s="34">
        <v>45966</v>
      </c>
      <c r="I1283" s="34"/>
      <c r="J1283" s="34">
        <v>45965</v>
      </c>
      <c r="K1283" s="34" t="s">
        <v>304</v>
      </c>
      <c r="L1283" s="34" t="s">
        <v>309</v>
      </c>
      <c r="M1283" s="34" t="s">
        <v>308</v>
      </c>
      <c r="Q1283" s="35"/>
      <c r="R1283" s="35"/>
      <c r="S1283" s="35"/>
      <c r="T1283" s="35"/>
      <c r="U1283" s="35"/>
      <c r="V1283" s="35"/>
      <c r="W1283" s="35"/>
      <c r="X1283" s="35"/>
      <c r="Y1283" s="35"/>
      <c r="Z1283" s="33">
        <v>560.9</v>
      </c>
      <c r="AA1283" s="35"/>
      <c r="AB1283" s="35"/>
      <c r="AC1283" s="35"/>
      <c r="AD1283" s="35"/>
      <c r="AE1283" s="35"/>
      <c r="AF1283" s="35"/>
      <c r="AG1283" s="35"/>
      <c r="AH1283" s="35"/>
    </row>
    <row r="1284" spans="2:35" x14ac:dyDescent="0.25">
      <c r="B1284" s="5">
        <v>597</v>
      </c>
      <c r="C1284" s="34">
        <v>45938</v>
      </c>
      <c r="D1284" s="5" t="s">
        <v>307</v>
      </c>
      <c r="E1284" s="36">
        <v>122.54</v>
      </c>
      <c r="F1284" s="36">
        <f>E1284-G1284</f>
        <v>0</v>
      </c>
      <c r="G1284" s="36">
        <v>122.54</v>
      </c>
      <c r="H1284" s="34">
        <v>45943</v>
      </c>
      <c r="I1284" s="34"/>
      <c r="J1284" s="34">
        <v>45965</v>
      </c>
      <c r="K1284" s="34" t="s">
        <v>351</v>
      </c>
      <c r="L1284" s="5" t="s">
        <v>303</v>
      </c>
      <c r="M1284" s="5" t="s">
        <v>350</v>
      </c>
      <c r="N1284" s="34"/>
      <c r="Q1284" s="35"/>
      <c r="R1284" s="35"/>
      <c r="S1284" s="35"/>
      <c r="T1284" s="35"/>
      <c r="U1284" s="35"/>
      <c r="V1284" s="35"/>
      <c r="W1284" s="35"/>
      <c r="X1284" s="35"/>
      <c r="Y1284" s="35"/>
      <c r="Z1284" s="35"/>
      <c r="AA1284" s="33">
        <v>115.64</v>
      </c>
      <c r="AB1284" s="40">
        <v>6.9</v>
      </c>
      <c r="AC1284" s="35"/>
      <c r="AD1284" s="35"/>
      <c r="AE1284" s="35"/>
      <c r="AF1284" s="35"/>
      <c r="AG1284" s="37"/>
      <c r="AH1284" s="37"/>
    </row>
    <row r="1285" spans="2:35" x14ac:dyDescent="0.25">
      <c r="B1285" s="5">
        <v>694</v>
      </c>
      <c r="C1285" s="34">
        <v>45964</v>
      </c>
      <c r="D1285" s="5" t="s">
        <v>414</v>
      </c>
      <c r="E1285" s="36">
        <v>1600</v>
      </c>
      <c r="F1285" s="36">
        <f>E1285-G1285</f>
        <v>0</v>
      </c>
      <c r="G1285" s="36">
        <v>1600</v>
      </c>
      <c r="H1285" s="34">
        <v>45964</v>
      </c>
      <c r="I1285" s="34"/>
      <c r="J1285" s="34">
        <v>45961</v>
      </c>
      <c r="K1285" s="34" t="s">
        <v>413</v>
      </c>
      <c r="L1285" s="34" t="s">
        <v>298</v>
      </c>
      <c r="Q1285" s="35"/>
      <c r="R1285" s="35"/>
      <c r="S1285" s="35"/>
      <c r="T1285" s="35"/>
      <c r="U1285" s="35"/>
      <c r="V1285" s="35"/>
      <c r="W1285" s="35"/>
      <c r="X1285" s="35"/>
      <c r="Y1285" s="33">
        <v>1600</v>
      </c>
      <c r="Z1285" s="35"/>
      <c r="AA1285" s="35"/>
      <c r="AB1285" s="35"/>
      <c r="AC1285" s="35"/>
      <c r="AD1285" s="35"/>
      <c r="AE1285" s="35"/>
      <c r="AF1285" s="35"/>
      <c r="AG1285" s="35"/>
      <c r="AH1285" s="35"/>
    </row>
    <row r="1286" spans="2:35" x14ac:dyDescent="0.25">
      <c r="B1286" s="5">
        <v>630</v>
      </c>
      <c r="C1286" s="34">
        <v>45945</v>
      </c>
      <c r="D1286" s="5" t="s">
        <v>412</v>
      </c>
      <c r="E1286" s="36">
        <v>1247.8599999999999</v>
      </c>
      <c r="F1286" s="36">
        <f>E1286-G1286</f>
        <v>0</v>
      </c>
      <c r="G1286" s="36">
        <v>1247.8599999999999</v>
      </c>
      <c r="H1286" s="34">
        <v>45971</v>
      </c>
      <c r="I1286" s="34"/>
      <c r="J1286" s="34">
        <v>45966</v>
      </c>
      <c r="K1286" s="34" t="s">
        <v>351</v>
      </c>
      <c r="L1286" s="34" t="s">
        <v>303</v>
      </c>
      <c r="M1286" s="34" t="s">
        <v>308</v>
      </c>
      <c r="Q1286" s="41"/>
      <c r="R1286" s="43"/>
      <c r="S1286" s="42"/>
      <c r="T1286" s="35"/>
      <c r="U1286" s="35"/>
      <c r="V1286" s="35"/>
      <c r="W1286" s="35"/>
      <c r="X1286" s="35"/>
      <c r="Y1286" s="40">
        <v>436.9</v>
      </c>
      <c r="Z1286" s="36">
        <v>810.96</v>
      </c>
      <c r="AA1286" s="35"/>
      <c r="AB1286" s="35"/>
      <c r="AC1286" s="35"/>
      <c r="AD1286" s="35"/>
      <c r="AE1286" s="35"/>
      <c r="AF1286" s="35"/>
      <c r="AG1286" s="35"/>
      <c r="AH1286" s="35"/>
    </row>
    <row r="1287" spans="2:35" x14ac:dyDescent="0.25">
      <c r="B1287" s="5">
        <v>697</v>
      </c>
      <c r="C1287" s="34">
        <v>45964</v>
      </c>
      <c r="D1287" s="5" t="s">
        <v>371</v>
      </c>
      <c r="E1287" s="36">
        <v>500</v>
      </c>
      <c r="F1287" s="36">
        <f>E1287-G1287</f>
        <v>0</v>
      </c>
      <c r="G1287" s="36">
        <v>500</v>
      </c>
      <c r="H1287" s="34">
        <v>45968</v>
      </c>
      <c r="I1287" s="34"/>
      <c r="J1287" s="34">
        <v>45967</v>
      </c>
      <c r="K1287" s="34" t="s">
        <v>365</v>
      </c>
      <c r="L1287" s="34" t="s">
        <v>298</v>
      </c>
      <c r="Q1287" s="35"/>
      <c r="R1287" s="35"/>
      <c r="S1287" s="35"/>
      <c r="T1287" s="35"/>
      <c r="U1287" s="35"/>
      <c r="V1287" s="35"/>
      <c r="W1287" s="35"/>
      <c r="X1287" s="35"/>
      <c r="Y1287" s="35"/>
      <c r="Z1287" s="35"/>
      <c r="AA1287" s="35"/>
      <c r="AB1287" s="33">
        <v>500</v>
      </c>
      <c r="AC1287" s="35"/>
      <c r="AD1287" s="35"/>
      <c r="AE1287" s="35"/>
      <c r="AF1287" s="35"/>
      <c r="AG1287" s="35"/>
      <c r="AH1287" s="35"/>
    </row>
    <row r="1288" spans="2:35" x14ac:dyDescent="0.25">
      <c r="B1288" s="5">
        <v>682</v>
      </c>
      <c r="C1288" s="34">
        <v>45958</v>
      </c>
      <c r="D1288" s="5" t="s">
        <v>328</v>
      </c>
      <c r="E1288" s="36">
        <v>390.89</v>
      </c>
      <c r="F1288" s="36">
        <f>E1288-G1288</f>
        <v>0</v>
      </c>
      <c r="G1288" s="36">
        <v>390.89</v>
      </c>
      <c r="H1288" s="34">
        <v>45966</v>
      </c>
      <c r="I1288" s="34"/>
      <c r="J1288" s="34">
        <v>45967</v>
      </c>
      <c r="K1288" s="34" t="s">
        <v>304</v>
      </c>
      <c r="L1288" s="34" t="s">
        <v>298</v>
      </c>
      <c r="Q1288" s="35"/>
      <c r="R1288" s="35"/>
      <c r="S1288" s="35"/>
      <c r="T1288" s="35"/>
      <c r="U1288" s="35"/>
      <c r="V1288" s="35"/>
      <c r="W1288" s="35"/>
      <c r="X1288" s="35"/>
      <c r="Y1288" s="35"/>
      <c r="Z1288" s="33">
        <v>390.89</v>
      </c>
      <c r="AA1288" s="35"/>
      <c r="AB1288" s="35"/>
      <c r="AC1288" s="35"/>
      <c r="AD1288" s="35"/>
      <c r="AE1288" s="35"/>
      <c r="AF1288" s="35"/>
      <c r="AG1288" s="35"/>
      <c r="AH1288" s="35"/>
    </row>
    <row r="1289" spans="2:35" x14ac:dyDescent="0.25">
      <c r="B1289" s="5">
        <v>620</v>
      </c>
      <c r="C1289" s="34">
        <v>45943</v>
      </c>
      <c r="D1289" s="5" t="s">
        <v>411</v>
      </c>
      <c r="E1289" s="36">
        <v>170</v>
      </c>
      <c r="F1289" s="36">
        <f>E1289-G1289</f>
        <v>0</v>
      </c>
      <c r="G1289" s="36">
        <v>170</v>
      </c>
      <c r="H1289" s="34">
        <v>45960</v>
      </c>
      <c r="I1289" s="34"/>
      <c r="J1289" s="34">
        <v>45967</v>
      </c>
      <c r="K1289" s="34" t="s">
        <v>299</v>
      </c>
      <c r="L1289" s="34" t="s">
        <v>309</v>
      </c>
      <c r="M1289" s="34" t="s">
        <v>308</v>
      </c>
      <c r="N1289" s="39" t="s">
        <v>410</v>
      </c>
      <c r="Q1289" s="41"/>
      <c r="R1289" s="43"/>
      <c r="S1289" s="42"/>
      <c r="T1289" s="35"/>
      <c r="U1289" s="35"/>
      <c r="V1289" s="35"/>
      <c r="W1289" s="35"/>
      <c r="X1289" s="35"/>
      <c r="Y1289" s="35"/>
      <c r="Z1289" s="40">
        <v>170</v>
      </c>
      <c r="AA1289" s="37"/>
      <c r="AB1289" s="37"/>
      <c r="AC1289" s="37"/>
      <c r="AD1289" s="37"/>
      <c r="AE1289" s="37"/>
      <c r="AF1289" s="37"/>
      <c r="AG1289" s="37"/>
      <c r="AH1289" s="35"/>
    </row>
    <row r="1290" spans="2:35" x14ac:dyDescent="0.25">
      <c r="B1290" s="5">
        <v>699</v>
      </c>
      <c r="C1290" s="34">
        <v>45965</v>
      </c>
      <c r="D1290" s="5" t="s">
        <v>368</v>
      </c>
      <c r="E1290" s="36">
        <v>8763.67</v>
      </c>
      <c r="F1290" s="36">
        <f>E1290-G1290</f>
        <v>0</v>
      </c>
      <c r="G1290" s="36">
        <v>8763.67</v>
      </c>
      <c r="H1290" s="34">
        <v>45968</v>
      </c>
      <c r="I1290" s="34"/>
      <c r="J1290" s="34">
        <v>45967</v>
      </c>
      <c r="K1290" s="34" t="s">
        <v>354</v>
      </c>
      <c r="L1290" s="34" t="s">
        <v>298</v>
      </c>
      <c r="M1290" s="34"/>
      <c r="N1290" s="39" t="s">
        <v>355</v>
      </c>
      <c r="Q1290" s="35"/>
      <c r="R1290" s="35"/>
      <c r="S1290" s="35"/>
      <c r="T1290" s="35"/>
      <c r="U1290" s="35"/>
      <c r="V1290" s="35"/>
      <c r="W1290" s="35"/>
      <c r="X1290" s="35"/>
      <c r="Y1290" s="33">
        <v>8763.67</v>
      </c>
      <c r="Z1290" s="35"/>
      <c r="AA1290" s="35"/>
      <c r="AB1290" s="35"/>
      <c r="AC1290" s="35"/>
      <c r="AD1290" s="35"/>
      <c r="AE1290" s="35"/>
      <c r="AF1290" s="35"/>
      <c r="AG1290" s="35"/>
      <c r="AH1290" s="35"/>
    </row>
    <row r="1291" spans="2:35" x14ac:dyDescent="0.25">
      <c r="B1291" s="5">
        <v>673</v>
      </c>
      <c r="C1291" s="34">
        <v>45957</v>
      </c>
      <c r="D1291" s="5" t="s">
        <v>314</v>
      </c>
      <c r="E1291" s="36">
        <v>800.2</v>
      </c>
      <c r="F1291" s="36">
        <f>E1291-G1291</f>
        <v>0</v>
      </c>
      <c r="G1291" s="36">
        <v>800.2</v>
      </c>
      <c r="H1291" s="34">
        <v>45971</v>
      </c>
      <c r="I1291" s="34"/>
      <c r="J1291" s="34">
        <v>45971</v>
      </c>
      <c r="K1291" s="34" t="s">
        <v>351</v>
      </c>
      <c r="Q1291" s="35"/>
      <c r="R1291" s="35"/>
      <c r="S1291" s="35"/>
      <c r="T1291" s="35"/>
      <c r="U1291" s="35"/>
      <c r="V1291" s="35"/>
      <c r="W1291" s="35"/>
      <c r="X1291" s="35"/>
      <c r="Y1291" s="35"/>
      <c r="Z1291" s="33">
        <v>800.2</v>
      </c>
      <c r="AA1291" s="35"/>
      <c r="AB1291" s="35"/>
      <c r="AC1291" s="35"/>
      <c r="AD1291" s="35"/>
      <c r="AE1291" s="35"/>
      <c r="AF1291" s="35"/>
      <c r="AG1291" s="35"/>
      <c r="AH1291" s="35"/>
    </row>
    <row r="1292" spans="2:35" x14ac:dyDescent="0.25">
      <c r="B1292" s="5">
        <v>479</v>
      </c>
      <c r="C1292" s="34">
        <v>45863</v>
      </c>
      <c r="D1292" s="5" t="s">
        <v>335</v>
      </c>
      <c r="E1292" s="36">
        <v>5041.05</v>
      </c>
      <c r="F1292" s="36">
        <f>E1292-G1292</f>
        <v>0</v>
      </c>
      <c r="G1292" s="36">
        <v>5041.05</v>
      </c>
      <c r="H1292" s="34">
        <v>45930</v>
      </c>
      <c r="I1292" s="34"/>
      <c r="J1292" s="34">
        <v>45961</v>
      </c>
      <c r="K1292" s="34" t="s">
        <v>354</v>
      </c>
      <c r="L1292" s="34" t="s">
        <v>298</v>
      </c>
      <c r="M1292" s="34"/>
      <c r="N1292" s="45" t="s">
        <v>372</v>
      </c>
      <c r="Q1292" s="35"/>
      <c r="R1292" s="35"/>
      <c r="S1292" s="35"/>
      <c r="T1292" s="35"/>
      <c r="U1292" s="35"/>
      <c r="V1292" s="35"/>
      <c r="W1292" s="35"/>
      <c r="X1292" s="35"/>
      <c r="Y1292" s="36">
        <v>5041.05</v>
      </c>
      <c r="Z1292" s="35"/>
      <c r="AA1292" s="35"/>
      <c r="AB1292" s="37"/>
      <c r="AC1292" s="37"/>
      <c r="AD1292" s="37"/>
      <c r="AE1292" s="37"/>
      <c r="AF1292" s="37"/>
      <c r="AG1292" s="37"/>
      <c r="AH1292" s="37"/>
    </row>
    <row r="1293" spans="2:35" x14ac:dyDescent="0.25">
      <c r="B1293" s="5">
        <v>572</v>
      </c>
      <c r="C1293" s="34">
        <v>45929</v>
      </c>
      <c r="D1293" s="5" t="s">
        <v>347</v>
      </c>
      <c r="E1293" s="36">
        <v>1290</v>
      </c>
      <c r="F1293" s="36">
        <f>E1293-G1293</f>
        <v>0</v>
      </c>
      <c r="G1293" s="36">
        <v>1290</v>
      </c>
      <c r="H1293" s="34">
        <v>45952</v>
      </c>
      <c r="I1293" s="34"/>
      <c r="J1293" s="34">
        <v>45973</v>
      </c>
      <c r="K1293" s="34" t="s">
        <v>318</v>
      </c>
      <c r="L1293" s="34" t="s">
        <v>309</v>
      </c>
      <c r="M1293" s="34" t="s">
        <v>308</v>
      </c>
      <c r="N1293" s="34" t="s">
        <v>409</v>
      </c>
      <c r="Q1293" s="35"/>
      <c r="R1293" s="35"/>
      <c r="S1293" s="35"/>
      <c r="T1293" s="35"/>
      <c r="U1293" s="35"/>
      <c r="V1293" s="35"/>
      <c r="W1293" s="35"/>
      <c r="X1293" s="35"/>
      <c r="Y1293" s="35"/>
      <c r="Z1293" s="35"/>
      <c r="AA1293" s="36">
        <v>1290</v>
      </c>
      <c r="AB1293" s="35"/>
      <c r="AC1293" s="35"/>
      <c r="AD1293" s="35"/>
      <c r="AE1293" s="35"/>
      <c r="AF1293" s="35"/>
      <c r="AG1293" s="35"/>
      <c r="AH1293" s="35"/>
    </row>
    <row r="1294" spans="2:35" x14ac:dyDescent="0.25">
      <c r="B1294" s="5">
        <v>678</v>
      </c>
      <c r="C1294" s="34">
        <v>45958</v>
      </c>
      <c r="D1294" s="5" t="s">
        <v>23</v>
      </c>
      <c r="E1294" s="36">
        <v>1850.97</v>
      </c>
      <c r="F1294" s="36">
        <f>E1294-G1294</f>
        <v>0</v>
      </c>
      <c r="G1294" s="36">
        <v>1850.97</v>
      </c>
      <c r="H1294" s="34">
        <v>45966</v>
      </c>
      <c r="I1294" s="34"/>
      <c r="J1294" s="34">
        <v>45974</v>
      </c>
      <c r="K1294" s="34" t="s">
        <v>304</v>
      </c>
      <c r="L1294" s="34" t="s">
        <v>303</v>
      </c>
      <c r="Q1294" s="35"/>
      <c r="R1294" s="35"/>
      <c r="S1294" s="35"/>
      <c r="T1294" s="35"/>
      <c r="U1294" s="35"/>
      <c r="V1294" s="35"/>
      <c r="W1294" s="35"/>
      <c r="X1294" s="35"/>
      <c r="Y1294" s="35"/>
      <c r="Z1294" s="33">
        <v>1850.97</v>
      </c>
      <c r="AA1294" s="35"/>
      <c r="AB1294" s="35"/>
      <c r="AC1294" s="35"/>
      <c r="AD1294" s="35"/>
      <c r="AE1294" s="35"/>
      <c r="AF1294" s="35"/>
      <c r="AG1294" s="35"/>
      <c r="AH1294" s="35"/>
      <c r="AI1294" s="34"/>
    </row>
    <row r="1295" spans="2:35" x14ac:dyDescent="0.25">
      <c r="B1295" s="5">
        <v>700</v>
      </c>
      <c r="C1295" s="34">
        <v>45965</v>
      </c>
      <c r="D1295" s="5" t="s">
        <v>328</v>
      </c>
      <c r="E1295" s="36">
        <v>128.12</v>
      </c>
      <c r="F1295" s="36">
        <f>E1295-G1295</f>
        <v>0</v>
      </c>
      <c r="G1295" s="36">
        <v>128.12</v>
      </c>
      <c r="H1295" s="34">
        <v>45971</v>
      </c>
      <c r="I1295" s="34"/>
      <c r="J1295" s="34">
        <v>45972</v>
      </c>
      <c r="K1295" s="34" t="s">
        <v>306</v>
      </c>
      <c r="L1295" s="34" t="s">
        <v>298</v>
      </c>
      <c r="Q1295" s="35"/>
      <c r="R1295" s="35"/>
      <c r="S1295" s="35"/>
      <c r="T1295" s="35"/>
      <c r="U1295" s="35"/>
      <c r="V1295" s="35"/>
      <c r="W1295" s="35"/>
      <c r="X1295" s="35"/>
      <c r="Y1295" s="35"/>
      <c r="Z1295" s="33">
        <v>128.12</v>
      </c>
      <c r="AA1295" s="35"/>
      <c r="AB1295" s="35"/>
      <c r="AC1295" s="35"/>
      <c r="AD1295" s="35"/>
      <c r="AE1295" s="35"/>
      <c r="AF1295" s="35"/>
      <c r="AG1295" s="35"/>
      <c r="AH1295" s="35"/>
    </row>
    <row r="1296" spans="2:35" x14ac:dyDescent="0.25">
      <c r="B1296" s="5">
        <v>609</v>
      </c>
      <c r="C1296" s="34">
        <v>45940</v>
      </c>
      <c r="D1296" s="5" t="s">
        <v>408</v>
      </c>
      <c r="E1296" s="36">
        <v>13380.2</v>
      </c>
      <c r="F1296" s="36">
        <f>E1296-G1296</f>
        <v>0</v>
      </c>
      <c r="G1296" s="36">
        <v>13380.2</v>
      </c>
      <c r="H1296" s="34">
        <v>45968</v>
      </c>
      <c r="I1296" s="34"/>
      <c r="J1296" s="34">
        <v>45973</v>
      </c>
      <c r="K1296" s="34" t="s">
        <v>348</v>
      </c>
      <c r="L1296" s="34" t="s">
        <v>298</v>
      </c>
      <c r="Q1296" s="35"/>
      <c r="R1296" s="35"/>
      <c r="S1296" s="35"/>
      <c r="T1296" s="35"/>
      <c r="U1296" s="35"/>
      <c r="V1296" s="35"/>
      <c r="W1296" s="35"/>
      <c r="X1296" s="35"/>
      <c r="Y1296" s="33">
        <v>13380.2</v>
      </c>
      <c r="Z1296" s="35"/>
      <c r="AA1296" s="35"/>
      <c r="AB1296" s="35"/>
      <c r="AC1296" s="35"/>
      <c r="AD1296" s="35"/>
      <c r="AE1296" s="35"/>
      <c r="AF1296" s="35"/>
      <c r="AG1296" s="35"/>
      <c r="AH1296" s="35"/>
    </row>
    <row r="1297" spans="2:35" x14ac:dyDescent="0.25">
      <c r="B1297" s="5">
        <v>584</v>
      </c>
      <c r="C1297" s="34">
        <v>45936</v>
      </c>
      <c r="D1297" s="5" t="s">
        <v>407</v>
      </c>
      <c r="E1297" s="36">
        <v>4445</v>
      </c>
      <c r="F1297" s="36">
        <f>E1297-G1297</f>
        <v>0</v>
      </c>
      <c r="G1297" s="36">
        <v>4445</v>
      </c>
      <c r="H1297" s="34">
        <v>45968</v>
      </c>
      <c r="I1297" s="34"/>
      <c r="J1297" s="34">
        <v>45973</v>
      </c>
      <c r="K1297" s="34" t="s">
        <v>351</v>
      </c>
      <c r="L1297" s="34" t="s">
        <v>309</v>
      </c>
      <c r="M1297" s="34" t="s">
        <v>308</v>
      </c>
      <c r="N1297" s="39" t="s">
        <v>406</v>
      </c>
      <c r="Q1297" s="35"/>
      <c r="R1297" s="35"/>
      <c r="S1297" s="35"/>
      <c r="T1297" s="35"/>
      <c r="U1297" s="35"/>
      <c r="V1297" s="35"/>
      <c r="W1297" s="35"/>
      <c r="X1297" s="33">
        <v>4445</v>
      </c>
      <c r="Y1297" s="35"/>
      <c r="Z1297" s="35"/>
      <c r="AA1297" s="35"/>
      <c r="AB1297" s="35"/>
      <c r="AC1297" s="35"/>
      <c r="AD1297" s="35"/>
      <c r="AE1297" s="35"/>
      <c r="AF1297" s="35"/>
      <c r="AG1297" s="37"/>
      <c r="AH1297" s="37"/>
    </row>
    <row r="1298" spans="2:35" x14ac:dyDescent="0.25">
      <c r="B1298" s="5">
        <v>581</v>
      </c>
      <c r="C1298" s="34">
        <v>45932</v>
      </c>
      <c r="D1298" s="5" t="s">
        <v>23</v>
      </c>
      <c r="E1298" s="36">
        <v>5219.43</v>
      </c>
      <c r="F1298" s="36">
        <f>E1298-G1298</f>
        <v>0</v>
      </c>
      <c r="G1298" s="36">
        <v>5219.43</v>
      </c>
      <c r="H1298" s="34">
        <v>45939</v>
      </c>
      <c r="I1298" s="34"/>
      <c r="J1298" s="34">
        <v>45975</v>
      </c>
      <c r="K1298" s="34" t="s">
        <v>351</v>
      </c>
      <c r="L1298" s="5" t="s">
        <v>303</v>
      </c>
      <c r="M1298" s="5" t="s">
        <v>350</v>
      </c>
      <c r="Q1298" s="35"/>
      <c r="R1298" s="35"/>
      <c r="S1298" s="35"/>
      <c r="T1298" s="35"/>
      <c r="U1298" s="35"/>
      <c r="V1298" s="35"/>
      <c r="W1298" s="35"/>
      <c r="X1298" s="35"/>
      <c r="Y1298" s="36">
        <v>4251.13</v>
      </c>
      <c r="Z1298" s="40">
        <v>968.3</v>
      </c>
      <c r="AA1298" s="35"/>
      <c r="AB1298" s="35"/>
      <c r="AC1298" s="35"/>
      <c r="AD1298" s="35"/>
      <c r="AE1298" s="35"/>
      <c r="AF1298" s="35"/>
      <c r="AG1298" s="37"/>
      <c r="AH1298" s="37"/>
    </row>
    <row r="1299" spans="2:35" x14ac:dyDescent="0.25">
      <c r="B1299" s="5">
        <v>703</v>
      </c>
      <c r="C1299" s="34">
        <v>45966</v>
      </c>
      <c r="D1299" s="5" t="s">
        <v>300</v>
      </c>
      <c r="E1299" s="36">
        <v>247.5</v>
      </c>
      <c r="F1299" s="36">
        <f>E1299-G1299</f>
        <v>0</v>
      </c>
      <c r="G1299" s="36">
        <v>247.5</v>
      </c>
      <c r="H1299" s="34">
        <v>45973</v>
      </c>
      <c r="I1299" s="34"/>
      <c r="J1299" s="34">
        <v>45974</v>
      </c>
      <c r="K1299" s="34" t="s">
        <v>330</v>
      </c>
      <c r="L1299" s="34" t="s">
        <v>298</v>
      </c>
      <c r="Q1299" s="35"/>
      <c r="R1299" s="35"/>
      <c r="S1299" s="35"/>
      <c r="T1299" s="35"/>
      <c r="U1299" s="35"/>
      <c r="V1299" s="35"/>
      <c r="W1299" s="35"/>
      <c r="X1299" s="35"/>
      <c r="Y1299" s="35"/>
      <c r="Z1299" s="35"/>
      <c r="AA1299" s="33">
        <v>247.5</v>
      </c>
      <c r="AB1299" s="35"/>
      <c r="AC1299" s="35"/>
      <c r="AD1299" s="35"/>
      <c r="AE1299" s="35"/>
      <c r="AF1299" s="35"/>
      <c r="AG1299" s="35"/>
      <c r="AH1299" s="35"/>
    </row>
    <row r="1300" spans="2:35" x14ac:dyDescent="0.25">
      <c r="B1300" s="5">
        <v>713</v>
      </c>
      <c r="C1300" s="34">
        <v>45973</v>
      </c>
      <c r="D1300" s="5" t="s">
        <v>316</v>
      </c>
      <c r="E1300" s="36">
        <v>730.86</v>
      </c>
      <c r="F1300" s="36">
        <f>E1300-G1300</f>
        <v>0</v>
      </c>
      <c r="G1300" s="36">
        <v>730.86</v>
      </c>
      <c r="H1300" s="34">
        <v>45979</v>
      </c>
      <c r="I1300" s="34"/>
      <c r="J1300" s="34">
        <v>45978</v>
      </c>
      <c r="K1300" s="34" t="s">
        <v>310</v>
      </c>
      <c r="L1300" s="34" t="s">
        <v>298</v>
      </c>
      <c r="Q1300" s="35"/>
      <c r="R1300" s="35"/>
      <c r="S1300" s="35"/>
      <c r="T1300" s="35"/>
      <c r="U1300" s="35"/>
      <c r="V1300" s="35"/>
      <c r="W1300" s="35"/>
      <c r="X1300" s="35"/>
      <c r="Y1300" s="35"/>
      <c r="Z1300" s="33">
        <v>730.86</v>
      </c>
      <c r="AA1300" s="35"/>
      <c r="AB1300" s="35"/>
      <c r="AC1300" s="35"/>
      <c r="AD1300" s="35"/>
      <c r="AE1300" s="35"/>
      <c r="AF1300" s="35"/>
      <c r="AG1300" s="35"/>
      <c r="AH1300" s="35"/>
    </row>
    <row r="1301" spans="2:35" x14ac:dyDescent="0.25">
      <c r="B1301" s="5">
        <v>670</v>
      </c>
      <c r="C1301" s="34">
        <v>45954</v>
      </c>
      <c r="D1301" s="5" t="s">
        <v>405</v>
      </c>
      <c r="E1301" s="36">
        <v>1750</v>
      </c>
      <c r="F1301" s="36">
        <f>E1301-G1301</f>
        <v>0</v>
      </c>
      <c r="G1301" s="36">
        <v>1750</v>
      </c>
      <c r="H1301" s="34">
        <v>45975</v>
      </c>
      <c r="I1301" s="34"/>
      <c r="J1301" s="34">
        <v>45975</v>
      </c>
      <c r="K1301" s="34" t="s">
        <v>330</v>
      </c>
      <c r="L1301" s="34" t="s">
        <v>298</v>
      </c>
      <c r="Q1301" s="35"/>
      <c r="R1301" s="35"/>
      <c r="S1301" s="35"/>
      <c r="T1301" s="35"/>
      <c r="U1301" s="35"/>
      <c r="V1301" s="35"/>
      <c r="W1301" s="35"/>
      <c r="X1301" s="35"/>
      <c r="Y1301" s="35"/>
      <c r="Z1301" s="33">
        <v>1750</v>
      </c>
      <c r="AA1301" s="35"/>
      <c r="AB1301" s="35"/>
      <c r="AC1301" s="35"/>
      <c r="AD1301" s="35"/>
      <c r="AE1301" s="35"/>
      <c r="AF1301" s="35"/>
      <c r="AG1301" s="35"/>
      <c r="AH1301" s="35"/>
    </row>
    <row r="1302" spans="2:35" x14ac:dyDescent="0.25">
      <c r="B1302" s="5">
        <v>718</v>
      </c>
      <c r="C1302" s="34">
        <v>45975</v>
      </c>
      <c r="D1302" s="5" t="s">
        <v>300</v>
      </c>
      <c r="E1302" s="36">
        <v>57.5</v>
      </c>
      <c r="F1302" s="36">
        <f>E1302-G1302</f>
        <v>0</v>
      </c>
      <c r="G1302" s="36">
        <v>57.5</v>
      </c>
      <c r="H1302" s="34">
        <v>45982</v>
      </c>
      <c r="I1302" s="34"/>
      <c r="J1302" s="34">
        <v>45979</v>
      </c>
      <c r="K1302" s="34" t="s">
        <v>330</v>
      </c>
      <c r="L1302" s="34" t="s">
        <v>298</v>
      </c>
      <c r="Q1302" s="35"/>
      <c r="R1302" s="35"/>
      <c r="S1302" s="35"/>
      <c r="T1302" s="35"/>
      <c r="U1302" s="35"/>
      <c r="V1302" s="35"/>
      <c r="W1302" s="35"/>
      <c r="X1302" s="35"/>
      <c r="Y1302" s="35"/>
      <c r="Z1302" s="35"/>
      <c r="AA1302" s="33">
        <v>57.5</v>
      </c>
      <c r="AB1302" s="35"/>
      <c r="AC1302" s="35"/>
      <c r="AD1302" s="35"/>
      <c r="AE1302" s="35"/>
      <c r="AF1302" s="35"/>
      <c r="AG1302" s="35"/>
      <c r="AH1302" s="35"/>
    </row>
    <row r="1303" spans="2:35" x14ac:dyDescent="0.25">
      <c r="B1303" s="5">
        <v>707</v>
      </c>
      <c r="C1303" s="34">
        <v>45968</v>
      </c>
      <c r="D1303" s="5" t="s">
        <v>404</v>
      </c>
      <c r="E1303" s="36">
        <v>2888.33</v>
      </c>
      <c r="F1303" s="36">
        <f>E1303-G1303</f>
        <v>0</v>
      </c>
      <c r="G1303" s="36">
        <v>2888.33</v>
      </c>
      <c r="H1303" s="34">
        <v>45982</v>
      </c>
      <c r="I1303" s="34"/>
      <c r="J1303" s="34">
        <v>45980</v>
      </c>
      <c r="K1303" s="34" t="s">
        <v>398</v>
      </c>
      <c r="L1303" s="34" t="s">
        <v>303</v>
      </c>
      <c r="M1303" s="34" t="s">
        <v>308</v>
      </c>
      <c r="N1303" s="34"/>
      <c r="Q1303" s="35"/>
      <c r="R1303" s="35"/>
      <c r="S1303" s="35"/>
      <c r="T1303" s="35"/>
      <c r="U1303" s="35"/>
      <c r="V1303" s="35"/>
      <c r="W1303" s="35"/>
      <c r="X1303" s="35"/>
      <c r="Y1303" s="35"/>
      <c r="Z1303" s="36">
        <v>2888.33</v>
      </c>
      <c r="AA1303" s="35"/>
      <c r="AB1303" s="35"/>
      <c r="AC1303" s="35"/>
      <c r="AD1303" s="35"/>
      <c r="AE1303" s="35"/>
      <c r="AF1303" s="35"/>
      <c r="AG1303" s="35"/>
      <c r="AH1303" s="35"/>
      <c r="AI1303" s="34"/>
    </row>
    <row r="1304" spans="2:35" x14ac:dyDescent="0.25">
      <c r="B1304" s="5">
        <v>656</v>
      </c>
      <c r="C1304" s="34">
        <v>45952</v>
      </c>
      <c r="D1304" s="5" t="s">
        <v>307</v>
      </c>
      <c r="E1304" s="36">
        <v>70.62</v>
      </c>
      <c r="F1304" s="36">
        <f>E1304-G1304</f>
        <v>0</v>
      </c>
      <c r="G1304" s="36">
        <v>70.62</v>
      </c>
      <c r="H1304" s="34">
        <v>45957</v>
      </c>
      <c r="I1304" s="34"/>
      <c r="J1304" s="34">
        <v>45980</v>
      </c>
      <c r="K1304" s="34" t="s">
        <v>389</v>
      </c>
      <c r="L1304" s="34" t="s">
        <v>303</v>
      </c>
      <c r="M1304" s="34"/>
      <c r="N1304" s="39"/>
      <c r="Q1304" s="35"/>
      <c r="R1304" s="35"/>
      <c r="S1304" s="35"/>
      <c r="T1304" s="35"/>
      <c r="U1304" s="35"/>
      <c r="V1304" s="35"/>
      <c r="W1304" s="35"/>
      <c r="X1304" s="35"/>
      <c r="Y1304" s="35"/>
      <c r="Z1304" s="35"/>
      <c r="AA1304" s="33">
        <v>48.43</v>
      </c>
      <c r="AB1304" s="40">
        <v>22.19</v>
      </c>
      <c r="AC1304" s="35"/>
      <c r="AD1304" s="35"/>
      <c r="AE1304" s="35"/>
      <c r="AF1304" s="35"/>
      <c r="AG1304" s="35"/>
      <c r="AH1304" s="35"/>
    </row>
    <row r="1305" spans="2:35" x14ac:dyDescent="0.25">
      <c r="B1305" s="5">
        <v>720</v>
      </c>
      <c r="C1305" s="34">
        <v>45975</v>
      </c>
      <c r="D1305" s="5" t="s">
        <v>371</v>
      </c>
      <c r="E1305" s="33">
        <v>1000</v>
      </c>
      <c r="F1305" s="33">
        <f>E1305-G1305</f>
        <v>0</v>
      </c>
      <c r="G1305" s="33">
        <v>1000</v>
      </c>
      <c r="H1305" s="34">
        <v>45982</v>
      </c>
      <c r="I1305" s="34"/>
      <c r="J1305" s="34">
        <v>45980</v>
      </c>
      <c r="K1305" s="34" t="s">
        <v>365</v>
      </c>
      <c r="L1305" s="34" t="s">
        <v>298</v>
      </c>
      <c r="Q1305" s="41"/>
      <c r="R1305" s="43"/>
      <c r="S1305" s="42"/>
      <c r="T1305" s="35"/>
      <c r="U1305" s="35"/>
      <c r="V1305" s="35"/>
      <c r="W1305" s="35"/>
      <c r="X1305" s="35"/>
      <c r="Y1305" s="35"/>
      <c r="Z1305" s="35"/>
      <c r="AA1305" s="37"/>
      <c r="AB1305" s="33">
        <v>1000</v>
      </c>
      <c r="AC1305" s="37"/>
      <c r="AD1305" s="37"/>
      <c r="AE1305" s="37"/>
      <c r="AF1305" s="37"/>
      <c r="AG1305" s="37"/>
      <c r="AH1305" s="37"/>
    </row>
    <row r="1306" spans="2:35" x14ac:dyDescent="0.25">
      <c r="B1306" s="5">
        <v>732</v>
      </c>
      <c r="C1306" s="34">
        <v>45979</v>
      </c>
      <c r="D1306" s="5" t="s">
        <v>307</v>
      </c>
      <c r="E1306" s="33">
        <v>310</v>
      </c>
      <c r="F1306" s="33">
        <f>E1306-G1306</f>
        <v>0</v>
      </c>
      <c r="G1306" s="33">
        <v>310</v>
      </c>
      <c r="H1306" s="34">
        <v>45982</v>
      </c>
      <c r="I1306" s="34"/>
      <c r="J1306" s="34">
        <v>45980</v>
      </c>
      <c r="K1306" s="34" t="s">
        <v>310</v>
      </c>
      <c r="L1306" s="34" t="s">
        <v>298</v>
      </c>
      <c r="Q1306" s="35"/>
      <c r="R1306" s="35"/>
      <c r="S1306" s="35"/>
      <c r="T1306" s="35"/>
      <c r="U1306" s="35"/>
      <c r="V1306" s="35"/>
      <c r="W1306" s="35"/>
      <c r="X1306" s="35"/>
      <c r="Y1306" s="35"/>
      <c r="Z1306" s="35"/>
      <c r="AA1306" s="35"/>
      <c r="AB1306" s="33">
        <v>310</v>
      </c>
      <c r="AC1306" s="35"/>
      <c r="AD1306" s="35"/>
      <c r="AE1306" s="35"/>
      <c r="AF1306" s="35"/>
      <c r="AG1306" s="35"/>
      <c r="AH1306" s="35"/>
    </row>
    <row r="1307" spans="2:35" x14ac:dyDescent="0.25">
      <c r="B1307" s="5">
        <v>684</v>
      </c>
      <c r="C1307" s="34">
        <v>45960</v>
      </c>
      <c r="D1307" s="5" t="s">
        <v>300</v>
      </c>
      <c r="E1307" s="33">
        <v>1223</v>
      </c>
      <c r="F1307" s="33">
        <f>E1307-G1307</f>
        <v>0</v>
      </c>
      <c r="G1307" s="33">
        <v>1223</v>
      </c>
      <c r="H1307" s="34">
        <v>45967</v>
      </c>
      <c r="I1307" s="34"/>
      <c r="J1307" s="34">
        <v>45978</v>
      </c>
      <c r="K1307" s="34" t="s">
        <v>330</v>
      </c>
      <c r="L1307" s="34" t="s">
        <v>298</v>
      </c>
      <c r="Q1307" s="35"/>
      <c r="R1307" s="35"/>
      <c r="S1307" s="35"/>
      <c r="T1307" s="35"/>
      <c r="U1307" s="35"/>
      <c r="V1307" s="35"/>
      <c r="W1307" s="35"/>
      <c r="X1307" s="35"/>
      <c r="Y1307" s="35"/>
      <c r="Z1307" s="35"/>
      <c r="AA1307" s="33">
        <v>1223</v>
      </c>
      <c r="AB1307" s="35"/>
      <c r="AC1307" s="35"/>
      <c r="AD1307" s="35"/>
      <c r="AE1307" s="35"/>
      <c r="AF1307" s="35"/>
      <c r="AG1307" s="35"/>
      <c r="AH1307" s="35"/>
    </row>
    <row r="1308" spans="2:35" x14ac:dyDescent="0.25">
      <c r="B1308" s="5">
        <v>739</v>
      </c>
      <c r="C1308" s="34">
        <v>45980</v>
      </c>
      <c r="D1308" s="5" t="s">
        <v>352</v>
      </c>
      <c r="E1308" s="33">
        <v>10</v>
      </c>
      <c r="F1308" s="33">
        <f>E1308-G1308</f>
        <v>0</v>
      </c>
      <c r="G1308" s="33">
        <v>10</v>
      </c>
      <c r="H1308" s="34">
        <v>45981</v>
      </c>
      <c r="I1308" s="34"/>
      <c r="J1308" s="34">
        <v>45981</v>
      </c>
      <c r="K1308" s="5" t="s">
        <v>398</v>
      </c>
      <c r="L1308" s="5" t="s">
        <v>298</v>
      </c>
      <c r="Q1308" s="35"/>
      <c r="R1308" s="35"/>
      <c r="S1308" s="35"/>
      <c r="T1308" s="35"/>
      <c r="U1308" s="35"/>
      <c r="V1308" s="35"/>
      <c r="W1308" s="35"/>
      <c r="X1308" s="35"/>
      <c r="Y1308" s="35"/>
      <c r="Z1308" s="35"/>
      <c r="AA1308" s="33">
        <v>10</v>
      </c>
      <c r="AB1308" s="35"/>
      <c r="AC1308" s="35"/>
      <c r="AD1308" s="35"/>
      <c r="AE1308" s="35"/>
      <c r="AF1308" s="35"/>
      <c r="AG1308" s="35"/>
      <c r="AH1308" s="35"/>
    </row>
    <row r="1309" spans="2:35" x14ac:dyDescent="0.25">
      <c r="B1309" s="5">
        <v>711</v>
      </c>
      <c r="C1309" s="34">
        <v>45972</v>
      </c>
      <c r="D1309" s="5" t="s">
        <v>403</v>
      </c>
      <c r="E1309" s="33">
        <v>127.38</v>
      </c>
      <c r="F1309" s="33">
        <f>E1309-G1309</f>
        <v>0</v>
      </c>
      <c r="G1309" s="33">
        <v>127.38</v>
      </c>
      <c r="H1309" s="34">
        <v>45982</v>
      </c>
      <c r="I1309" s="34"/>
      <c r="J1309" s="34">
        <v>45981</v>
      </c>
      <c r="K1309" s="34" t="s">
        <v>398</v>
      </c>
      <c r="L1309" s="34" t="s">
        <v>298</v>
      </c>
      <c r="Q1309" s="35"/>
      <c r="R1309" s="35"/>
      <c r="S1309" s="35"/>
      <c r="T1309" s="35"/>
      <c r="U1309" s="35"/>
      <c r="V1309" s="35"/>
      <c r="W1309" s="35"/>
      <c r="X1309" s="35"/>
      <c r="Y1309" s="35"/>
      <c r="Z1309" s="33">
        <v>127.38</v>
      </c>
      <c r="AA1309" s="35"/>
      <c r="AB1309" s="35"/>
      <c r="AC1309" s="35"/>
      <c r="AD1309" s="35"/>
      <c r="AE1309" s="35"/>
      <c r="AF1309" s="35"/>
      <c r="AG1309" s="35"/>
      <c r="AH1309" s="35"/>
      <c r="AI1309" s="34"/>
    </row>
    <row r="1310" spans="2:35" x14ac:dyDescent="0.25">
      <c r="B1310" s="5">
        <v>676</v>
      </c>
      <c r="C1310" s="34">
        <v>45958</v>
      </c>
      <c r="D1310" s="5" t="s">
        <v>402</v>
      </c>
      <c r="E1310" s="36">
        <v>482</v>
      </c>
      <c r="F1310" s="36">
        <f>E1310-G1310</f>
        <v>0</v>
      </c>
      <c r="G1310" s="36">
        <v>482</v>
      </c>
      <c r="H1310" s="34">
        <v>45961</v>
      </c>
      <c r="I1310" s="34"/>
      <c r="J1310" s="34">
        <v>45980</v>
      </c>
      <c r="K1310" s="34" t="s">
        <v>401</v>
      </c>
      <c r="L1310" s="34" t="s">
        <v>303</v>
      </c>
      <c r="M1310" s="34" t="s">
        <v>308</v>
      </c>
      <c r="N1310" s="39" t="s">
        <v>400</v>
      </c>
      <c r="Q1310" s="35"/>
      <c r="R1310" s="35"/>
      <c r="S1310" s="35"/>
      <c r="T1310" s="35"/>
      <c r="U1310" s="35"/>
      <c r="V1310" s="35"/>
      <c r="W1310" s="35"/>
      <c r="X1310" s="35"/>
      <c r="Y1310" s="35"/>
      <c r="Z1310" s="33">
        <v>438</v>
      </c>
      <c r="AA1310" s="40">
        <v>44</v>
      </c>
      <c r="AB1310" s="35"/>
      <c r="AC1310" s="35"/>
      <c r="AD1310" s="35"/>
      <c r="AE1310" s="35"/>
      <c r="AF1310" s="35"/>
      <c r="AG1310" s="35"/>
      <c r="AH1310" s="35"/>
    </row>
    <row r="1311" spans="2:35" x14ac:dyDescent="0.25">
      <c r="B1311" s="5">
        <v>709</v>
      </c>
      <c r="C1311" s="34">
        <v>45971</v>
      </c>
      <c r="D1311" s="5" t="s">
        <v>399</v>
      </c>
      <c r="E1311" s="33">
        <v>910</v>
      </c>
      <c r="F1311" s="33">
        <f>E1311-G1311</f>
        <v>0</v>
      </c>
      <c r="G1311" s="33">
        <v>910</v>
      </c>
      <c r="H1311" s="34">
        <v>46000</v>
      </c>
      <c r="I1311" s="34"/>
      <c r="J1311" s="34">
        <v>45981</v>
      </c>
      <c r="K1311" s="34" t="s">
        <v>304</v>
      </c>
      <c r="L1311" s="34" t="s">
        <v>298</v>
      </c>
      <c r="Q1311" s="35"/>
      <c r="R1311" s="35"/>
      <c r="S1311" s="35"/>
      <c r="T1311" s="35"/>
      <c r="U1311" s="35"/>
      <c r="V1311" s="35"/>
      <c r="W1311" s="35"/>
      <c r="X1311" s="35"/>
      <c r="Y1311" s="35"/>
      <c r="Z1311" s="35"/>
      <c r="AA1311" s="33">
        <v>910</v>
      </c>
      <c r="AB1311" s="35"/>
      <c r="AC1311" s="35"/>
      <c r="AD1311" s="35"/>
      <c r="AE1311" s="35"/>
      <c r="AF1311" s="35"/>
      <c r="AG1311" s="35"/>
      <c r="AH1311" s="35"/>
    </row>
    <row r="1312" spans="2:35" x14ac:dyDescent="0.25">
      <c r="B1312" s="5">
        <v>725</v>
      </c>
      <c r="C1312" s="34">
        <v>45978</v>
      </c>
      <c r="D1312" s="5" t="s">
        <v>300</v>
      </c>
      <c r="E1312" s="33">
        <v>121.8</v>
      </c>
      <c r="F1312" s="33">
        <f>E1312-G1312</f>
        <v>0</v>
      </c>
      <c r="G1312" s="33">
        <v>121.8</v>
      </c>
      <c r="H1312" s="34">
        <v>45981</v>
      </c>
      <c r="I1312" s="34"/>
      <c r="J1312" s="34">
        <v>45982</v>
      </c>
      <c r="K1312" s="34" t="s">
        <v>398</v>
      </c>
      <c r="L1312" s="34" t="s">
        <v>298</v>
      </c>
      <c r="Q1312" s="35"/>
      <c r="R1312" s="35"/>
      <c r="S1312" s="35"/>
      <c r="T1312" s="35"/>
      <c r="U1312" s="35"/>
      <c r="V1312" s="35"/>
      <c r="W1312" s="35"/>
      <c r="X1312" s="35"/>
      <c r="Y1312" s="35"/>
      <c r="Z1312" s="35"/>
      <c r="AA1312" s="33">
        <v>121.8</v>
      </c>
      <c r="AB1312" s="35"/>
      <c r="AC1312" s="35"/>
      <c r="AD1312" s="35"/>
      <c r="AE1312" s="35"/>
      <c r="AF1312" s="35"/>
      <c r="AG1312" s="35"/>
      <c r="AH1312" s="35"/>
    </row>
    <row r="1313" spans="2:35" x14ac:dyDescent="0.25">
      <c r="B1313" s="5">
        <v>715</v>
      </c>
      <c r="C1313" s="34">
        <v>45974</v>
      </c>
      <c r="D1313" s="5" t="s">
        <v>397</v>
      </c>
      <c r="E1313" s="36">
        <v>1480</v>
      </c>
      <c r="F1313" s="36">
        <f>E1313-G1313</f>
        <v>0</v>
      </c>
      <c r="G1313" s="36">
        <v>1480</v>
      </c>
      <c r="H1313" s="34">
        <v>45975</v>
      </c>
      <c r="I1313" s="34"/>
      <c r="J1313" s="34">
        <v>45975</v>
      </c>
      <c r="K1313" s="34" t="s">
        <v>396</v>
      </c>
      <c r="L1313" s="34" t="s">
        <v>298</v>
      </c>
      <c r="M1313" s="34"/>
      <c r="N1313" s="45" t="s">
        <v>372</v>
      </c>
      <c r="Q1313" s="35"/>
      <c r="R1313" s="35"/>
      <c r="S1313" s="35"/>
      <c r="T1313" s="35"/>
      <c r="U1313" s="35"/>
      <c r="V1313" s="35"/>
      <c r="W1313" s="35"/>
      <c r="X1313" s="35"/>
      <c r="Y1313" s="33">
        <v>1480</v>
      </c>
      <c r="Z1313" s="35"/>
      <c r="AA1313" s="35"/>
      <c r="AB1313" s="35"/>
      <c r="AC1313" s="35"/>
      <c r="AD1313" s="35"/>
      <c r="AE1313" s="35"/>
      <c r="AF1313" s="35"/>
      <c r="AG1313" s="35"/>
      <c r="AH1313" s="35"/>
    </row>
    <row r="1314" spans="2:35" x14ac:dyDescent="0.25">
      <c r="B1314" s="5">
        <v>666</v>
      </c>
      <c r="C1314" s="34">
        <v>45953</v>
      </c>
      <c r="D1314" s="5" t="s">
        <v>395</v>
      </c>
      <c r="E1314" s="36">
        <v>8000</v>
      </c>
      <c r="F1314" s="36">
        <f>E1314-G1314</f>
        <v>0</v>
      </c>
      <c r="G1314" s="36">
        <v>8000</v>
      </c>
      <c r="H1314" s="34">
        <v>45991</v>
      </c>
      <c r="I1314" s="34"/>
      <c r="J1314" s="34">
        <v>45982</v>
      </c>
      <c r="K1314" s="5" t="s">
        <v>348</v>
      </c>
      <c r="L1314" s="5" t="s">
        <v>298</v>
      </c>
      <c r="Q1314" s="35"/>
      <c r="R1314" s="35"/>
      <c r="S1314" s="35"/>
      <c r="T1314" s="35"/>
      <c r="U1314" s="35"/>
      <c r="V1314" s="35"/>
      <c r="W1314" s="35"/>
      <c r="X1314" s="35"/>
      <c r="Y1314" s="33">
        <v>2400</v>
      </c>
      <c r="Z1314" s="36">
        <v>5600</v>
      </c>
      <c r="AA1314" s="35"/>
      <c r="AB1314" s="35"/>
      <c r="AC1314" s="35"/>
      <c r="AD1314" s="35"/>
      <c r="AE1314" s="35"/>
      <c r="AF1314" s="35"/>
      <c r="AG1314" s="35"/>
      <c r="AH1314" s="35"/>
    </row>
    <row r="1315" spans="2:35" x14ac:dyDescent="0.25">
      <c r="B1315" s="5">
        <v>690</v>
      </c>
      <c r="C1315" s="34">
        <v>45960</v>
      </c>
      <c r="D1315" s="5" t="s">
        <v>395</v>
      </c>
      <c r="E1315" s="36">
        <v>7800</v>
      </c>
      <c r="F1315" s="36">
        <f>E1315-G1315</f>
        <v>0</v>
      </c>
      <c r="G1315" s="36">
        <v>7800</v>
      </c>
      <c r="H1315" s="34">
        <v>46022</v>
      </c>
      <c r="I1315" s="34"/>
      <c r="J1315" s="34">
        <v>45982</v>
      </c>
      <c r="K1315" s="34" t="s">
        <v>348</v>
      </c>
      <c r="L1315" s="34" t="s">
        <v>298</v>
      </c>
      <c r="Q1315" s="35"/>
      <c r="R1315" s="35"/>
      <c r="S1315" s="35"/>
      <c r="T1315" s="35"/>
      <c r="U1315" s="35"/>
      <c r="V1315" s="35"/>
      <c r="W1315" s="35"/>
      <c r="X1315" s="35"/>
      <c r="Y1315" s="40">
        <v>2340</v>
      </c>
      <c r="Z1315" s="40">
        <v>5460</v>
      </c>
      <c r="AA1315" s="35"/>
      <c r="AB1315" s="35"/>
      <c r="AC1315" s="35"/>
      <c r="AD1315" s="35"/>
      <c r="AE1315" s="35"/>
      <c r="AF1315" s="35"/>
      <c r="AG1315" s="35"/>
      <c r="AH1315" s="35"/>
    </row>
    <row r="1316" spans="2:35" x14ac:dyDescent="0.25">
      <c r="B1316" s="5">
        <v>636</v>
      </c>
      <c r="C1316" s="34">
        <v>45946</v>
      </c>
      <c r="D1316" s="5" t="s">
        <v>347</v>
      </c>
      <c r="E1316" s="36">
        <v>8917</v>
      </c>
      <c r="F1316" s="36">
        <f>E1316-G1316</f>
        <v>0</v>
      </c>
      <c r="G1316" s="36">
        <v>8917</v>
      </c>
      <c r="H1316" s="34">
        <v>45989</v>
      </c>
      <c r="I1316" s="34"/>
      <c r="J1316" s="34">
        <v>45982</v>
      </c>
      <c r="K1316" s="34" t="s">
        <v>313</v>
      </c>
      <c r="L1316" s="34" t="s">
        <v>309</v>
      </c>
      <c r="M1316" s="34" t="s">
        <v>308</v>
      </c>
      <c r="Q1316" s="35"/>
      <c r="R1316" s="35"/>
      <c r="S1316" s="35"/>
      <c r="T1316" s="35"/>
      <c r="U1316" s="35"/>
      <c r="V1316" s="35"/>
      <c r="W1316" s="35"/>
      <c r="X1316" s="35"/>
      <c r="Y1316" s="35"/>
      <c r="Z1316" s="35"/>
      <c r="AA1316" s="35"/>
      <c r="AB1316" s="36">
        <v>8917</v>
      </c>
      <c r="AC1316" s="35"/>
      <c r="AD1316" s="35"/>
      <c r="AE1316" s="35"/>
      <c r="AF1316" s="35"/>
      <c r="AG1316" s="35"/>
      <c r="AH1316" s="35"/>
    </row>
    <row r="1317" spans="2:35" x14ac:dyDescent="0.25">
      <c r="B1317" s="5">
        <v>690</v>
      </c>
      <c r="C1317" s="34">
        <v>45975</v>
      </c>
      <c r="D1317" s="5" t="s">
        <v>371</v>
      </c>
      <c r="E1317" s="36">
        <v>1370</v>
      </c>
      <c r="F1317" s="36">
        <f>E1317-G1317</f>
        <v>0</v>
      </c>
      <c r="G1317" s="36">
        <v>1370</v>
      </c>
      <c r="H1317" s="34">
        <v>45987</v>
      </c>
      <c r="I1317" s="34"/>
      <c r="J1317" s="34">
        <v>45982</v>
      </c>
      <c r="K1317" s="34" t="s">
        <v>348</v>
      </c>
      <c r="L1317" s="34" t="s">
        <v>298</v>
      </c>
      <c r="Q1317" s="41"/>
      <c r="R1317" s="43"/>
      <c r="S1317" s="42"/>
      <c r="T1317" s="35"/>
      <c r="U1317" s="35"/>
      <c r="V1317" s="35"/>
      <c r="W1317" s="35"/>
      <c r="X1317" s="35"/>
      <c r="Y1317" s="35"/>
      <c r="Z1317" s="35"/>
      <c r="AA1317" s="37"/>
      <c r="AB1317" s="33">
        <v>1370</v>
      </c>
      <c r="AC1317" s="37"/>
      <c r="AD1317" s="37"/>
      <c r="AE1317" s="37"/>
      <c r="AF1317" s="37"/>
      <c r="AG1317" s="37"/>
      <c r="AH1317" s="37"/>
    </row>
    <row r="1318" spans="2:35" x14ac:dyDescent="0.25">
      <c r="B1318" s="5">
        <v>705</v>
      </c>
      <c r="C1318" s="34">
        <v>45968</v>
      </c>
      <c r="D1318" s="5" t="s">
        <v>307</v>
      </c>
      <c r="E1318" s="36">
        <v>82.18</v>
      </c>
      <c r="F1318" s="36">
        <f>E1318-G1318</f>
        <v>0</v>
      </c>
      <c r="G1318" s="36">
        <v>82.18</v>
      </c>
      <c r="H1318" s="34">
        <v>45971</v>
      </c>
      <c r="I1318" s="34"/>
      <c r="J1318" s="34">
        <v>45982</v>
      </c>
      <c r="K1318" s="34" t="s">
        <v>389</v>
      </c>
      <c r="L1318" s="34" t="s">
        <v>298</v>
      </c>
      <c r="M1318" s="34"/>
      <c r="Q1318" s="35"/>
      <c r="R1318" s="35"/>
      <c r="S1318" s="35"/>
      <c r="T1318" s="35"/>
      <c r="U1318" s="35"/>
      <c r="V1318" s="35"/>
      <c r="W1318" s="35"/>
      <c r="X1318" s="35"/>
      <c r="Y1318" s="35"/>
      <c r="Z1318" s="35"/>
      <c r="AA1318" s="35"/>
      <c r="AB1318" s="33">
        <v>82.18</v>
      </c>
      <c r="AC1318" s="35"/>
      <c r="AD1318" s="35"/>
      <c r="AE1318" s="35"/>
      <c r="AF1318" s="35"/>
      <c r="AG1318" s="35"/>
      <c r="AH1318" s="35"/>
    </row>
    <row r="1319" spans="2:35" x14ac:dyDescent="0.25">
      <c r="B1319" s="5">
        <v>667</v>
      </c>
      <c r="C1319" s="34">
        <v>45953</v>
      </c>
      <c r="D1319" s="5" t="s">
        <v>386</v>
      </c>
      <c r="E1319" s="36">
        <f>'ORDINI EVASI (3)'!O1319*'[1]ORDINI COMMESSE E VARIE'!N2</f>
        <v>2635.404</v>
      </c>
      <c r="F1319" s="36">
        <f>E1319-G1319</f>
        <v>3.9999999999054126E-3</v>
      </c>
      <c r="G1319" s="36">
        <v>2635.4</v>
      </c>
      <c r="H1319" s="34">
        <v>45982</v>
      </c>
      <c r="I1319" s="34"/>
      <c r="J1319" s="34">
        <v>45985</v>
      </c>
      <c r="K1319" s="34" t="s">
        <v>330</v>
      </c>
      <c r="L1319" s="34" t="s">
        <v>298</v>
      </c>
      <c r="M1319" s="34"/>
      <c r="N1319" s="34" t="s">
        <v>394</v>
      </c>
      <c r="O1319" s="50">
        <v>3029.2</v>
      </c>
      <c r="Q1319" s="35"/>
      <c r="R1319" s="35"/>
      <c r="S1319" s="35"/>
      <c r="T1319" s="35"/>
      <c r="U1319" s="35"/>
      <c r="V1319" s="35"/>
      <c r="W1319" s="35"/>
      <c r="X1319" s="35"/>
      <c r="Y1319" s="48">
        <v>2605.11</v>
      </c>
      <c r="Z1319" s="35"/>
      <c r="AA1319" s="35"/>
      <c r="AB1319" s="35"/>
      <c r="AC1319" s="35"/>
      <c r="AD1319" s="35"/>
      <c r="AE1319" s="35"/>
      <c r="AF1319" s="35"/>
      <c r="AG1319" s="35"/>
      <c r="AH1319" s="35"/>
    </row>
    <row r="1320" spans="2:35" x14ac:dyDescent="0.25">
      <c r="B1320" s="5">
        <v>410</v>
      </c>
      <c r="C1320" s="34">
        <v>45828</v>
      </c>
      <c r="D1320" s="5" t="s">
        <v>248</v>
      </c>
      <c r="E1320" s="36">
        <v>78350</v>
      </c>
      <c r="F1320" s="36">
        <f>E1320-G1320</f>
        <v>0</v>
      </c>
      <c r="G1320" s="36">
        <v>78350</v>
      </c>
      <c r="H1320" s="34">
        <v>45960</v>
      </c>
      <c r="I1320" s="34"/>
      <c r="J1320" s="34">
        <v>45952</v>
      </c>
      <c r="K1320" s="34" t="s">
        <v>348</v>
      </c>
      <c r="L1320" s="34" t="s">
        <v>309</v>
      </c>
      <c r="M1320" s="34" t="s">
        <v>308</v>
      </c>
      <c r="N1320" s="34" t="s">
        <v>393</v>
      </c>
      <c r="Q1320" s="41"/>
      <c r="R1320" s="43"/>
      <c r="S1320" s="42"/>
      <c r="T1320" s="35"/>
      <c r="U1320" s="35"/>
      <c r="V1320" s="40">
        <v>23400</v>
      </c>
      <c r="W1320" s="35"/>
      <c r="X1320" s="35"/>
      <c r="Y1320" s="35"/>
      <c r="Z1320" s="35"/>
      <c r="AA1320" s="38">
        <v>31340</v>
      </c>
      <c r="AB1320" s="36">
        <v>23610</v>
      </c>
      <c r="AC1320" s="37"/>
      <c r="AD1320" s="37"/>
      <c r="AE1320" s="37"/>
      <c r="AF1320" s="37"/>
      <c r="AG1320" s="37"/>
      <c r="AH1320" s="37"/>
    </row>
    <row r="1321" spans="2:35" x14ac:dyDescent="0.25">
      <c r="B1321" s="5">
        <v>702</v>
      </c>
      <c r="C1321" s="34">
        <v>45966</v>
      </c>
      <c r="D1321" s="5" t="s">
        <v>352</v>
      </c>
      <c r="E1321" s="36">
        <v>460</v>
      </c>
      <c r="F1321" s="36">
        <f>E1321-G1321</f>
        <v>0</v>
      </c>
      <c r="G1321" s="36">
        <v>460</v>
      </c>
      <c r="H1321" s="34">
        <v>45974</v>
      </c>
      <c r="I1321" s="34"/>
      <c r="J1321" s="34">
        <v>45986</v>
      </c>
      <c r="K1321" s="34" t="s">
        <v>330</v>
      </c>
      <c r="L1321" s="34" t="s">
        <v>298</v>
      </c>
      <c r="M1321" s="34"/>
      <c r="N1321" s="39"/>
      <c r="Q1321" s="35"/>
      <c r="R1321" s="35"/>
      <c r="S1321" s="35"/>
      <c r="T1321" s="35"/>
      <c r="U1321" s="35"/>
      <c r="V1321" s="35"/>
      <c r="W1321" s="35"/>
      <c r="X1321" s="35"/>
      <c r="Y1321" s="35"/>
      <c r="Z1321" s="35"/>
      <c r="AA1321" s="33">
        <v>460</v>
      </c>
      <c r="AB1321" s="35"/>
      <c r="AC1321" s="35"/>
      <c r="AD1321" s="35"/>
      <c r="AE1321" s="35"/>
      <c r="AF1321" s="35"/>
      <c r="AG1321" s="35"/>
      <c r="AH1321" s="35"/>
    </row>
    <row r="1322" spans="2:35" x14ac:dyDescent="0.25">
      <c r="B1322" s="5">
        <v>265</v>
      </c>
      <c r="C1322" s="34">
        <v>45762</v>
      </c>
      <c r="D1322" s="5" t="s">
        <v>392</v>
      </c>
      <c r="E1322" s="36">
        <f>'ORDINI EVASI (3)'!O1322*'[1]ORDINI COMMESSE E VARIE'!N2</f>
        <v>62870.55</v>
      </c>
      <c r="F1322" s="36">
        <f>E1322-G1322</f>
        <v>0</v>
      </c>
      <c r="G1322" s="36">
        <v>62870.55</v>
      </c>
      <c r="H1322" s="34">
        <v>45960</v>
      </c>
      <c r="I1322" s="34"/>
      <c r="J1322" s="34">
        <v>45986</v>
      </c>
      <c r="K1322" s="34" t="s">
        <v>313</v>
      </c>
      <c r="L1322" s="34" t="s">
        <v>298</v>
      </c>
      <c r="M1322" s="34"/>
      <c r="N1322" s="34" t="s">
        <v>391</v>
      </c>
      <c r="O1322" s="47">
        <v>72265</v>
      </c>
      <c r="Q1322" s="41"/>
      <c r="R1322" s="43"/>
      <c r="S1322" s="42"/>
      <c r="T1322" s="35"/>
      <c r="U1322" s="35"/>
      <c r="V1322" s="35"/>
      <c r="W1322" s="35"/>
      <c r="X1322" s="35"/>
      <c r="Y1322" s="35"/>
      <c r="Z1322" s="52">
        <v>62147.9</v>
      </c>
      <c r="AA1322" s="37"/>
      <c r="AB1322" s="37"/>
      <c r="AC1322" s="37"/>
      <c r="AD1322" s="37"/>
      <c r="AE1322" s="35"/>
      <c r="AF1322" s="37"/>
      <c r="AG1322" s="37"/>
      <c r="AH1322" s="37"/>
      <c r="AI1322" s="34"/>
    </row>
    <row r="1323" spans="2:35" x14ac:dyDescent="0.25">
      <c r="B1323" s="5">
        <v>743</v>
      </c>
      <c r="C1323" s="34">
        <v>45981</v>
      </c>
      <c r="D1323" s="5" t="s">
        <v>307</v>
      </c>
      <c r="E1323" s="36">
        <v>185.38</v>
      </c>
      <c r="F1323" s="36">
        <f>E1323-G1323</f>
        <v>0</v>
      </c>
      <c r="G1323" s="36">
        <v>185.38</v>
      </c>
      <c r="H1323" s="34">
        <v>45989</v>
      </c>
      <c r="I1323" s="34"/>
      <c r="J1323" s="34">
        <v>45986</v>
      </c>
      <c r="K1323" s="34" t="s">
        <v>389</v>
      </c>
      <c r="L1323" s="34" t="s">
        <v>309</v>
      </c>
      <c r="M1323" s="34" t="s">
        <v>308</v>
      </c>
      <c r="Q1323" s="35"/>
      <c r="R1323" s="35"/>
      <c r="S1323" s="35"/>
      <c r="T1323" s="35"/>
      <c r="U1323" s="35"/>
      <c r="V1323" s="35"/>
      <c r="W1323" s="35"/>
      <c r="X1323" s="35"/>
      <c r="Y1323" s="35"/>
      <c r="Z1323" s="35"/>
      <c r="AA1323" s="35"/>
      <c r="AB1323" s="33">
        <v>185.38</v>
      </c>
      <c r="AC1323" s="35"/>
      <c r="AD1323" s="35"/>
      <c r="AE1323" s="35"/>
      <c r="AF1323" s="35"/>
      <c r="AG1323" s="35"/>
      <c r="AH1323" s="35"/>
    </row>
    <row r="1324" spans="2:35" x14ac:dyDescent="0.25">
      <c r="B1324" s="5">
        <v>733</v>
      </c>
      <c r="C1324" s="34">
        <v>45979</v>
      </c>
      <c r="D1324" s="5" t="s">
        <v>321</v>
      </c>
      <c r="E1324" s="36">
        <v>621.9</v>
      </c>
      <c r="F1324" s="36">
        <f>E1324-G1324</f>
        <v>0</v>
      </c>
      <c r="G1324" s="36">
        <v>621.9</v>
      </c>
      <c r="H1324" s="34">
        <v>45985</v>
      </c>
      <c r="I1324" s="34"/>
      <c r="J1324" s="34">
        <v>45985</v>
      </c>
      <c r="K1324" s="34" t="s">
        <v>310</v>
      </c>
      <c r="L1324" s="34" t="s">
        <v>309</v>
      </c>
      <c r="M1324" s="34" t="s">
        <v>308</v>
      </c>
      <c r="Q1324" s="35"/>
      <c r="R1324" s="35"/>
      <c r="S1324" s="35"/>
      <c r="T1324" s="35"/>
      <c r="U1324" s="35"/>
      <c r="V1324" s="35"/>
      <c r="W1324" s="35"/>
      <c r="X1324" s="35"/>
      <c r="Y1324" s="35"/>
      <c r="Z1324" s="33">
        <v>621.9</v>
      </c>
      <c r="AA1324" s="35"/>
      <c r="AB1324" s="35"/>
      <c r="AC1324" s="35"/>
      <c r="AD1324" s="35"/>
      <c r="AE1324" s="35"/>
      <c r="AF1324" s="35"/>
      <c r="AG1324" s="35"/>
      <c r="AH1324" s="35"/>
    </row>
    <row r="1325" spans="2:35" x14ac:dyDescent="0.25">
      <c r="B1325" s="5">
        <v>735</v>
      </c>
      <c r="C1325" s="34">
        <v>45979</v>
      </c>
      <c r="D1325" s="5" t="s">
        <v>307</v>
      </c>
      <c r="E1325" s="36">
        <v>122.3</v>
      </c>
      <c r="F1325" s="36">
        <f>E1325-G1325</f>
        <v>0</v>
      </c>
      <c r="G1325" s="36">
        <v>122.3</v>
      </c>
      <c r="H1325" s="34">
        <v>45981</v>
      </c>
      <c r="I1325" s="34"/>
      <c r="J1325" s="34">
        <v>45985</v>
      </c>
      <c r="K1325" s="34" t="s">
        <v>351</v>
      </c>
      <c r="L1325" s="34" t="s">
        <v>303</v>
      </c>
      <c r="M1325" s="34"/>
      <c r="Q1325" s="41"/>
      <c r="R1325" s="43"/>
      <c r="S1325" s="42"/>
      <c r="T1325" s="35"/>
      <c r="U1325" s="35"/>
      <c r="V1325" s="35"/>
      <c r="W1325" s="35"/>
      <c r="X1325" s="35"/>
      <c r="Y1325" s="35"/>
      <c r="Z1325" s="35"/>
      <c r="AA1325" s="33">
        <v>122.3</v>
      </c>
      <c r="AB1325" s="41"/>
      <c r="AC1325" s="41"/>
      <c r="AD1325" s="41"/>
      <c r="AE1325" s="41"/>
      <c r="AF1325" s="41"/>
      <c r="AG1325" s="41"/>
      <c r="AH1325" s="41"/>
      <c r="AI1325" s="51"/>
    </row>
    <row r="1326" spans="2:35" x14ac:dyDescent="0.25">
      <c r="B1326" s="5">
        <v>680</v>
      </c>
      <c r="C1326" s="34">
        <v>45958</v>
      </c>
      <c r="D1326" s="5" t="s">
        <v>314</v>
      </c>
      <c r="E1326" s="36">
        <v>3417.3</v>
      </c>
      <c r="F1326" s="36">
        <f>E1326-G1326</f>
        <v>0</v>
      </c>
      <c r="G1326" s="36">
        <v>3417.3</v>
      </c>
      <c r="H1326" s="34">
        <v>45982</v>
      </c>
      <c r="I1326" s="34"/>
      <c r="J1326" s="34">
        <v>45982</v>
      </c>
      <c r="K1326" s="34" t="s">
        <v>304</v>
      </c>
      <c r="L1326" s="34" t="s">
        <v>298</v>
      </c>
      <c r="Q1326" s="35"/>
      <c r="R1326" s="35"/>
      <c r="S1326" s="35"/>
      <c r="T1326" s="35"/>
      <c r="U1326" s="35"/>
      <c r="V1326" s="35"/>
      <c r="W1326" s="35"/>
      <c r="X1326" s="35"/>
      <c r="Y1326" s="35"/>
      <c r="Z1326" s="33">
        <v>3417.3</v>
      </c>
      <c r="AA1326" s="35"/>
      <c r="AB1326" s="35"/>
      <c r="AC1326" s="35"/>
      <c r="AD1326" s="35"/>
      <c r="AE1326" s="35"/>
      <c r="AF1326" s="35"/>
      <c r="AG1326" s="35"/>
      <c r="AH1326" s="35"/>
      <c r="AI1326" s="34"/>
    </row>
    <row r="1327" spans="2:35" x14ac:dyDescent="0.25">
      <c r="B1327" s="5">
        <v>686</v>
      </c>
      <c r="C1327" s="34">
        <v>45960</v>
      </c>
      <c r="D1327" s="5" t="s">
        <v>314</v>
      </c>
      <c r="E1327" s="36">
        <v>1558.65</v>
      </c>
      <c r="F1327" s="36">
        <f>E1327-G1327</f>
        <v>0</v>
      </c>
      <c r="G1327" s="36">
        <v>1558.65</v>
      </c>
      <c r="H1327" s="34">
        <v>45982</v>
      </c>
      <c r="I1327" s="34"/>
      <c r="J1327" s="34">
        <v>45982</v>
      </c>
      <c r="K1327" s="34" t="s">
        <v>390</v>
      </c>
      <c r="L1327" s="34" t="s">
        <v>309</v>
      </c>
      <c r="M1327" s="34" t="s">
        <v>308</v>
      </c>
      <c r="Q1327" s="35"/>
      <c r="R1327" s="35"/>
      <c r="S1327" s="35"/>
      <c r="T1327" s="35"/>
      <c r="U1327" s="35"/>
      <c r="V1327" s="35"/>
      <c r="W1327" s="35"/>
      <c r="X1327" s="35"/>
      <c r="Y1327" s="35"/>
      <c r="Z1327" s="36">
        <v>1558.65</v>
      </c>
      <c r="AA1327" s="35"/>
      <c r="AB1327" s="35"/>
      <c r="AC1327" s="35"/>
      <c r="AD1327" s="35"/>
      <c r="AE1327" s="35"/>
      <c r="AF1327" s="35"/>
      <c r="AG1327" s="35"/>
      <c r="AH1327" s="35"/>
    </row>
    <row r="1328" spans="2:35" x14ac:dyDescent="0.25">
      <c r="B1328" s="5">
        <v>760</v>
      </c>
      <c r="C1328" s="34">
        <v>45987</v>
      </c>
      <c r="D1328" s="5" t="s">
        <v>307</v>
      </c>
      <c r="E1328" s="36">
        <v>55.24</v>
      </c>
      <c r="F1328" s="36">
        <f>E1328-G1328</f>
        <v>0</v>
      </c>
      <c r="G1328" s="36">
        <v>55.24</v>
      </c>
      <c r="H1328" s="34">
        <v>45992</v>
      </c>
      <c r="I1328" s="34"/>
      <c r="J1328" s="34">
        <v>45992</v>
      </c>
      <c r="K1328" s="34" t="s">
        <v>389</v>
      </c>
      <c r="L1328" s="34" t="s">
        <v>298</v>
      </c>
      <c r="Q1328" s="35"/>
      <c r="R1328" s="35"/>
      <c r="S1328" s="35"/>
      <c r="T1328" s="35"/>
      <c r="U1328" s="35"/>
      <c r="V1328" s="35"/>
      <c r="W1328" s="35"/>
      <c r="X1328" s="35"/>
      <c r="Y1328" s="35"/>
      <c r="Z1328" s="35"/>
      <c r="AA1328" s="35"/>
      <c r="AB1328" s="33">
        <v>55.24</v>
      </c>
      <c r="AC1328" s="35"/>
      <c r="AD1328" s="35"/>
      <c r="AE1328" s="35"/>
      <c r="AF1328" s="35"/>
      <c r="AG1328" s="35"/>
      <c r="AH1328" s="35"/>
    </row>
    <row r="1329" spans="2:36" x14ac:dyDescent="0.25">
      <c r="B1329" s="5">
        <v>755</v>
      </c>
      <c r="C1329" s="34">
        <v>45986</v>
      </c>
      <c r="D1329" s="5" t="s">
        <v>307</v>
      </c>
      <c r="E1329" s="36">
        <v>82.94</v>
      </c>
      <c r="F1329" s="36">
        <f>E1329-G1329</f>
        <v>0</v>
      </c>
      <c r="G1329" s="36">
        <v>82.94</v>
      </c>
      <c r="H1329" s="34">
        <v>45990</v>
      </c>
      <c r="I1329" s="34"/>
      <c r="J1329" s="34">
        <v>45989</v>
      </c>
      <c r="K1329" s="34" t="s">
        <v>299</v>
      </c>
      <c r="L1329" s="34" t="s">
        <v>303</v>
      </c>
      <c r="M1329" s="34"/>
      <c r="Q1329" s="35"/>
      <c r="R1329" s="35"/>
      <c r="S1329" s="35"/>
      <c r="T1329" s="35"/>
      <c r="U1329" s="35"/>
      <c r="V1329" s="35"/>
      <c r="W1329" s="35"/>
      <c r="X1329" s="35"/>
      <c r="Y1329" s="35"/>
      <c r="Z1329" s="35"/>
      <c r="AA1329" s="35"/>
      <c r="AB1329" s="33">
        <v>82.94</v>
      </c>
      <c r="AC1329" s="35"/>
      <c r="AD1329" s="35"/>
      <c r="AE1329" s="35"/>
      <c r="AF1329" s="35"/>
      <c r="AG1329" s="35"/>
      <c r="AH1329" s="35"/>
    </row>
    <row r="1330" spans="2:36" x14ac:dyDescent="0.25">
      <c r="B1330" s="5">
        <v>543</v>
      </c>
      <c r="C1330" s="34">
        <v>45911</v>
      </c>
      <c r="D1330" s="5" t="s">
        <v>333</v>
      </c>
      <c r="E1330" s="36">
        <v>15100</v>
      </c>
      <c r="F1330" s="36">
        <f>E1330-G1330</f>
        <v>15100</v>
      </c>
      <c r="G1330" s="36">
        <v>0</v>
      </c>
      <c r="H1330" s="34">
        <v>45989</v>
      </c>
      <c r="I1330" s="34"/>
      <c r="J1330" s="34">
        <v>45989</v>
      </c>
      <c r="K1330" s="34" t="s">
        <v>351</v>
      </c>
      <c r="L1330" s="34" t="s">
        <v>309</v>
      </c>
      <c r="M1330" s="34" t="s">
        <v>308</v>
      </c>
      <c r="Q1330" s="35"/>
      <c r="R1330" s="35"/>
      <c r="S1330" s="35"/>
      <c r="T1330" s="35"/>
      <c r="U1330" s="35"/>
      <c r="V1330" s="35"/>
      <c r="W1330" s="35"/>
      <c r="X1330" s="35"/>
      <c r="Y1330" s="35"/>
      <c r="Z1330" s="33">
        <v>15100</v>
      </c>
      <c r="AA1330" s="35"/>
      <c r="AB1330" s="37"/>
      <c r="AC1330" s="37"/>
      <c r="AD1330" s="37"/>
      <c r="AE1330" s="37"/>
      <c r="AF1330" s="35"/>
      <c r="AG1330" s="37"/>
      <c r="AH1330" s="37"/>
    </row>
    <row r="1331" spans="2:36" x14ac:dyDescent="0.25">
      <c r="B1331" s="5">
        <v>763</v>
      </c>
      <c r="C1331" s="34">
        <v>45988</v>
      </c>
      <c r="D1331" s="5" t="s">
        <v>173</v>
      </c>
      <c r="E1331" s="33">
        <v>1259</v>
      </c>
      <c r="F1331" s="33">
        <f>E1331-G1331</f>
        <v>1259</v>
      </c>
      <c r="G1331" s="33">
        <v>0</v>
      </c>
      <c r="H1331" s="34">
        <v>45996</v>
      </c>
      <c r="I1331" s="34"/>
      <c r="J1331" s="34">
        <v>45988</v>
      </c>
      <c r="K1331" s="34" t="s">
        <v>365</v>
      </c>
      <c r="L1331" s="34" t="s">
        <v>298</v>
      </c>
      <c r="Q1331" s="35"/>
      <c r="R1331" s="35"/>
      <c r="S1331" s="35"/>
      <c r="T1331" s="35"/>
      <c r="U1331" s="35"/>
      <c r="V1331" s="35"/>
      <c r="W1331" s="35"/>
      <c r="X1331" s="35"/>
      <c r="Y1331" s="35"/>
      <c r="Z1331" s="33">
        <v>1259</v>
      </c>
      <c r="AA1331" s="35"/>
      <c r="AB1331" s="35"/>
      <c r="AC1331" s="35"/>
      <c r="AD1331" s="35"/>
      <c r="AE1331" s="35"/>
      <c r="AF1331" s="35"/>
      <c r="AG1331" s="35"/>
      <c r="AH1331" s="35"/>
    </row>
    <row r="1332" spans="2:36" x14ac:dyDescent="0.25">
      <c r="B1332" s="5">
        <v>722</v>
      </c>
      <c r="C1332" s="34">
        <v>45978</v>
      </c>
      <c r="D1332" s="5" t="s">
        <v>388</v>
      </c>
      <c r="E1332" s="33">
        <v>1715</v>
      </c>
      <c r="F1332" s="33">
        <f>E1332-G1332</f>
        <v>1715</v>
      </c>
      <c r="G1332" s="33">
        <v>0</v>
      </c>
      <c r="H1332" s="34">
        <v>46387</v>
      </c>
      <c r="I1332" s="34"/>
      <c r="J1332" s="34">
        <v>45973</v>
      </c>
      <c r="K1332" s="34" t="s">
        <v>365</v>
      </c>
      <c r="L1332" s="34" t="s">
        <v>298</v>
      </c>
      <c r="Q1332" s="41"/>
      <c r="R1332" s="43"/>
      <c r="S1332" s="42"/>
      <c r="T1332" s="35"/>
      <c r="U1332" s="35"/>
      <c r="V1332" s="35"/>
      <c r="W1332" s="35"/>
      <c r="X1332" s="35"/>
      <c r="Y1332" s="35"/>
      <c r="Z1332" s="35"/>
      <c r="AA1332" s="33">
        <v>1715</v>
      </c>
      <c r="AB1332" s="41"/>
      <c r="AC1332" s="43"/>
      <c r="AD1332" s="42"/>
      <c r="AE1332" s="35"/>
      <c r="AF1332" s="35"/>
      <c r="AG1332" s="35"/>
      <c r="AH1332" s="35"/>
      <c r="AI1332" s="34"/>
      <c r="AJ1332" s="34"/>
    </row>
    <row r="1333" spans="2:36" x14ac:dyDescent="0.25">
      <c r="B1333" s="5">
        <v>761</v>
      </c>
      <c r="C1333" s="34">
        <v>45987</v>
      </c>
      <c r="D1333" s="5" t="s">
        <v>300</v>
      </c>
      <c r="E1333" s="33">
        <v>200</v>
      </c>
      <c r="F1333" s="33">
        <f>E1333-G1333</f>
        <v>200</v>
      </c>
      <c r="G1333" s="33">
        <v>0</v>
      </c>
      <c r="H1333" s="34">
        <v>45999</v>
      </c>
      <c r="I1333" s="34"/>
      <c r="J1333" s="34">
        <v>45992</v>
      </c>
      <c r="K1333" s="34" t="s">
        <v>387</v>
      </c>
      <c r="L1333" s="34" t="s">
        <v>298</v>
      </c>
      <c r="Q1333" s="35"/>
      <c r="R1333" s="35"/>
      <c r="S1333" s="35"/>
      <c r="T1333" s="35"/>
      <c r="U1333" s="35"/>
      <c r="V1333" s="35"/>
      <c r="W1333" s="35"/>
      <c r="X1333" s="35"/>
      <c r="Y1333" s="35"/>
      <c r="Z1333" s="35"/>
      <c r="AA1333" s="35"/>
      <c r="AB1333" s="33">
        <v>200</v>
      </c>
      <c r="AC1333" s="35"/>
      <c r="AD1333" s="35"/>
      <c r="AE1333" s="35"/>
      <c r="AF1333" s="35"/>
      <c r="AG1333" s="35"/>
      <c r="AH1333" s="35"/>
    </row>
    <row r="1334" spans="2:36" x14ac:dyDescent="0.25">
      <c r="B1334" s="5">
        <v>748</v>
      </c>
      <c r="C1334" s="34">
        <v>45985</v>
      </c>
      <c r="D1334" s="5" t="s">
        <v>300</v>
      </c>
      <c r="E1334" s="36">
        <v>180</v>
      </c>
      <c r="F1334" s="36">
        <f>E1334-G1334</f>
        <v>180</v>
      </c>
      <c r="G1334" s="36">
        <v>0</v>
      </c>
      <c r="H1334" s="34">
        <v>45994</v>
      </c>
      <c r="I1334" s="34"/>
      <c r="J1334" s="34">
        <v>45992</v>
      </c>
      <c r="K1334" s="34" t="s">
        <v>299</v>
      </c>
      <c r="L1334" s="34" t="s">
        <v>298</v>
      </c>
      <c r="Q1334" s="35"/>
      <c r="R1334" s="35"/>
      <c r="S1334" s="35"/>
      <c r="T1334" s="35"/>
      <c r="U1334" s="35"/>
      <c r="V1334" s="35"/>
      <c r="W1334" s="35"/>
      <c r="X1334" s="35"/>
      <c r="Y1334" s="35"/>
      <c r="Z1334" s="35"/>
      <c r="AA1334" s="35"/>
      <c r="AB1334" s="33">
        <v>180</v>
      </c>
      <c r="AC1334" s="35"/>
      <c r="AD1334" s="35"/>
      <c r="AE1334" s="35"/>
      <c r="AF1334" s="35"/>
      <c r="AG1334" s="35"/>
      <c r="AH1334" s="35"/>
    </row>
    <row r="1335" spans="2:36" x14ac:dyDescent="0.25">
      <c r="B1335" s="5">
        <v>719</v>
      </c>
      <c r="C1335" s="34">
        <v>45975</v>
      </c>
      <c r="D1335" s="5" t="s">
        <v>300</v>
      </c>
      <c r="E1335" s="36">
        <v>123.5</v>
      </c>
      <c r="F1335" s="36">
        <f>E1335-G1335</f>
        <v>123.5</v>
      </c>
      <c r="G1335" s="36">
        <v>0</v>
      </c>
      <c r="H1335" s="34">
        <v>45982</v>
      </c>
      <c r="I1335" s="34"/>
      <c r="J1335" s="34">
        <v>45988</v>
      </c>
      <c r="K1335" s="34" t="s">
        <v>330</v>
      </c>
      <c r="L1335" s="34" t="s">
        <v>298</v>
      </c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3">
        <v>123.5</v>
      </c>
      <c r="AB1335" s="35"/>
      <c r="AC1335" s="35"/>
      <c r="AD1335" s="35"/>
      <c r="AE1335" s="35"/>
      <c r="AF1335" s="35"/>
      <c r="AG1335" s="35"/>
      <c r="AH1335" s="35"/>
    </row>
    <row r="1336" spans="2:36" x14ac:dyDescent="0.25">
      <c r="B1336" s="5">
        <v>717</v>
      </c>
      <c r="C1336" s="34">
        <v>45975</v>
      </c>
      <c r="D1336" s="5" t="s">
        <v>300</v>
      </c>
      <c r="E1336" s="36">
        <v>194</v>
      </c>
      <c r="F1336" s="36">
        <f>E1336-G1336</f>
        <v>194</v>
      </c>
      <c r="G1336" s="36">
        <v>0</v>
      </c>
      <c r="H1336" s="34">
        <v>45982</v>
      </c>
      <c r="I1336" s="34"/>
      <c r="J1336" s="34">
        <v>45992</v>
      </c>
      <c r="K1336" s="34" t="s">
        <v>299</v>
      </c>
      <c r="L1336" s="34" t="s">
        <v>298</v>
      </c>
      <c r="Q1336" s="35"/>
      <c r="R1336" s="35"/>
      <c r="S1336" s="35"/>
      <c r="T1336" s="35"/>
      <c r="U1336" s="35"/>
      <c r="V1336" s="35"/>
      <c r="W1336" s="35"/>
      <c r="X1336" s="35"/>
      <c r="Y1336" s="35"/>
      <c r="Z1336" s="35"/>
      <c r="AA1336" s="35"/>
      <c r="AB1336" s="33">
        <v>194</v>
      </c>
      <c r="AC1336" s="35"/>
      <c r="AD1336" s="35"/>
      <c r="AE1336" s="35"/>
      <c r="AF1336" s="35"/>
      <c r="AG1336" s="35"/>
      <c r="AH1336" s="35"/>
    </row>
    <row r="1337" spans="2:36" x14ac:dyDescent="0.25">
      <c r="B1337" s="5">
        <v>706</v>
      </c>
      <c r="C1337" s="34">
        <v>45968</v>
      </c>
      <c r="D1337" s="5" t="s">
        <v>386</v>
      </c>
      <c r="E1337" s="36">
        <f>O1337*O2</f>
        <v>1489.8600000000001</v>
      </c>
      <c r="F1337" s="36">
        <f>E1337-G1337</f>
        <v>1489.8600000000001</v>
      </c>
      <c r="G1337" s="36">
        <v>0</v>
      </c>
      <c r="H1337" s="34">
        <v>45975</v>
      </c>
      <c r="I1337" s="34"/>
      <c r="J1337" s="34">
        <v>45986</v>
      </c>
      <c r="K1337" s="34" t="s">
        <v>310</v>
      </c>
      <c r="L1337" s="34" t="s">
        <v>298</v>
      </c>
      <c r="N1337" s="34" t="s">
        <v>385</v>
      </c>
      <c r="O1337" s="5">
        <v>1602</v>
      </c>
      <c r="Q1337" s="35"/>
      <c r="R1337" s="35"/>
      <c r="S1337" s="35"/>
      <c r="T1337" s="35"/>
      <c r="U1337" s="35"/>
      <c r="V1337" s="35"/>
      <c r="W1337" s="35"/>
      <c r="X1337" s="35"/>
      <c r="Y1337" s="35"/>
      <c r="Z1337" s="46">
        <v>1486.86</v>
      </c>
      <c r="AA1337" s="35"/>
      <c r="AB1337" s="35"/>
      <c r="AC1337" s="35"/>
      <c r="AD1337" s="35"/>
      <c r="AE1337" s="35"/>
      <c r="AF1337" s="35"/>
      <c r="AG1337" s="35"/>
      <c r="AH1337" s="35"/>
      <c r="AI1337" s="34"/>
    </row>
    <row r="1338" spans="2:36" x14ac:dyDescent="0.25">
      <c r="B1338" s="5">
        <v>712</v>
      </c>
      <c r="C1338" s="34">
        <v>45973</v>
      </c>
      <c r="D1338" s="5" t="s">
        <v>386</v>
      </c>
      <c r="E1338" s="36">
        <f>O1338*O2</f>
        <v>540.33000000000004</v>
      </c>
      <c r="F1338" s="36">
        <f>E1338-G1338</f>
        <v>540.33000000000004</v>
      </c>
      <c r="G1338" s="36">
        <v>0</v>
      </c>
      <c r="H1338" s="34">
        <v>45982</v>
      </c>
      <c r="I1338" s="34"/>
      <c r="J1338" s="34">
        <v>45986</v>
      </c>
      <c r="K1338" s="34" t="s">
        <v>310</v>
      </c>
      <c r="L1338" s="34" t="s">
        <v>298</v>
      </c>
      <c r="N1338" s="34" t="s">
        <v>385</v>
      </c>
      <c r="O1338" s="5">
        <v>581</v>
      </c>
      <c r="Q1338" s="35"/>
      <c r="R1338" s="35"/>
      <c r="S1338" s="35"/>
      <c r="T1338" s="35"/>
      <c r="U1338" s="35"/>
      <c r="V1338" s="35"/>
      <c r="W1338" s="35"/>
      <c r="X1338" s="35"/>
      <c r="Y1338" s="35"/>
      <c r="Z1338" s="46">
        <v>540.33000000000004</v>
      </c>
      <c r="AA1338" s="35"/>
      <c r="AB1338" s="35"/>
      <c r="AC1338" s="35"/>
      <c r="AD1338" s="35"/>
      <c r="AE1338" s="35"/>
      <c r="AF1338" s="35"/>
      <c r="AG1338" s="35"/>
      <c r="AH1338" s="35"/>
    </row>
    <row r="1339" spans="2:36" x14ac:dyDescent="0.25">
      <c r="B1339" s="5">
        <v>608</v>
      </c>
      <c r="C1339" s="34">
        <v>45939</v>
      </c>
      <c r="D1339" s="5" t="s">
        <v>40</v>
      </c>
      <c r="E1339" s="36">
        <v>1195.4000000000001</v>
      </c>
      <c r="F1339" s="36">
        <v>1195.4000000000001</v>
      </c>
      <c r="G1339" s="36">
        <v>0</v>
      </c>
      <c r="H1339" s="34">
        <v>45986</v>
      </c>
      <c r="I1339" s="34"/>
      <c r="J1339" s="34">
        <v>45989</v>
      </c>
      <c r="K1339" s="34" t="s">
        <v>299</v>
      </c>
      <c r="L1339" s="34" t="s">
        <v>309</v>
      </c>
      <c r="M1339" s="34" t="s">
        <v>308</v>
      </c>
      <c r="N1339" s="34" t="s">
        <v>385</v>
      </c>
      <c r="O1339" s="50">
        <v>1390</v>
      </c>
      <c r="Q1339" s="35"/>
      <c r="R1339" s="35"/>
      <c r="S1339" s="35"/>
      <c r="T1339" s="35"/>
      <c r="U1339" s="35"/>
      <c r="V1339" s="35"/>
      <c r="W1339" s="35"/>
      <c r="X1339" s="48">
        <v>1195.4000000000001</v>
      </c>
      <c r="Y1339" s="35"/>
      <c r="Z1339" s="35"/>
      <c r="AA1339" s="35"/>
      <c r="AB1339" s="35"/>
      <c r="AC1339" s="35"/>
      <c r="AD1339" s="35"/>
      <c r="AE1339" s="35"/>
      <c r="AF1339" s="35"/>
      <c r="AG1339" s="37"/>
      <c r="AH1339" s="37"/>
    </row>
    <row r="1340" spans="2:36" x14ac:dyDescent="0.25">
      <c r="B1340" s="5">
        <v>704</v>
      </c>
      <c r="C1340" s="34">
        <v>45967</v>
      </c>
      <c r="D1340" s="5" t="s">
        <v>384</v>
      </c>
      <c r="E1340" s="36">
        <v>470</v>
      </c>
      <c r="F1340" s="36">
        <f>E1340-G1340</f>
        <v>470</v>
      </c>
      <c r="G1340" s="36">
        <v>0</v>
      </c>
      <c r="H1340" s="34">
        <v>45976</v>
      </c>
      <c r="I1340" s="34"/>
      <c r="J1340" s="34">
        <v>45988</v>
      </c>
      <c r="K1340" s="34" t="s">
        <v>354</v>
      </c>
      <c r="L1340" s="34" t="s">
        <v>298</v>
      </c>
      <c r="Q1340" s="35"/>
      <c r="R1340" s="35"/>
      <c r="S1340" s="35"/>
      <c r="T1340" s="35"/>
      <c r="U1340" s="35"/>
      <c r="V1340" s="35"/>
      <c r="W1340" s="35"/>
      <c r="X1340" s="35"/>
      <c r="Y1340" s="35"/>
      <c r="Z1340" s="33">
        <v>470</v>
      </c>
      <c r="AA1340" s="35"/>
      <c r="AB1340" s="35"/>
      <c r="AC1340" s="35"/>
      <c r="AD1340" s="35"/>
      <c r="AE1340" s="35"/>
      <c r="AF1340" s="35"/>
      <c r="AG1340" s="35"/>
      <c r="AH1340" s="35"/>
    </row>
    <row r="1341" spans="2:36" x14ac:dyDescent="0.25">
      <c r="B1341" s="5">
        <v>383</v>
      </c>
      <c r="C1341" s="34">
        <v>45469</v>
      </c>
      <c r="D1341" s="5" t="s">
        <v>383</v>
      </c>
      <c r="E1341" s="36">
        <v>165688</v>
      </c>
      <c r="F1341" s="36">
        <f>E1341-G1341</f>
        <v>13424</v>
      </c>
      <c r="G1341" s="36">
        <v>152264</v>
      </c>
      <c r="H1341" s="34">
        <v>45626</v>
      </c>
      <c r="I1341" s="34"/>
      <c r="J1341" s="34">
        <v>45988</v>
      </c>
      <c r="K1341" s="5" t="s">
        <v>382</v>
      </c>
      <c r="L1341" s="5" t="s">
        <v>303</v>
      </c>
      <c r="M1341" s="5" t="s">
        <v>308</v>
      </c>
      <c r="Q1341" s="41"/>
      <c r="R1341" s="43"/>
      <c r="S1341" s="35"/>
      <c r="T1341" s="35"/>
      <c r="U1341" s="35"/>
      <c r="V1341" s="49">
        <v>61576</v>
      </c>
      <c r="W1341" s="35"/>
      <c r="X1341" s="35"/>
      <c r="Y1341" s="35"/>
      <c r="Z1341" s="37"/>
      <c r="AA1341" s="40">
        <v>13424</v>
      </c>
      <c r="AB1341" s="35"/>
      <c r="AC1341" s="37"/>
      <c r="AD1341" s="37"/>
      <c r="AE1341" s="37"/>
      <c r="AF1341" s="37"/>
      <c r="AG1341" s="37"/>
      <c r="AH1341" s="37"/>
    </row>
    <row r="1342" spans="2:36" x14ac:dyDescent="0.25">
      <c r="B1342" s="5">
        <v>742</v>
      </c>
      <c r="C1342" s="34">
        <v>45981</v>
      </c>
      <c r="D1342" s="5" t="s">
        <v>381</v>
      </c>
      <c r="E1342" s="36">
        <v>126</v>
      </c>
      <c r="F1342" s="36">
        <f>E1342-G1342</f>
        <v>126</v>
      </c>
      <c r="G1342" s="36">
        <v>0</v>
      </c>
      <c r="H1342" s="34">
        <v>45989</v>
      </c>
      <c r="I1342" s="34"/>
      <c r="J1342" s="34">
        <v>45992</v>
      </c>
      <c r="K1342" s="34" t="s">
        <v>299</v>
      </c>
      <c r="L1342" s="5" t="s">
        <v>298</v>
      </c>
      <c r="Q1342" s="35"/>
      <c r="R1342" s="35"/>
      <c r="S1342" s="35"/>
      <c r="T1342" s="35"/>
      <c r="U1342" s="35"/>
      <c r="V1342" s="35"/>
      <c r="W1342" s="35"/>
      <c r="X1342" s="35"/>
      <c r="Y1342" s="33">
        <v>126</v>
      </c>
      <c r="Z1342" s="35"/>
      <c r="AA1342" s="35"/>
      <c r="AB1342" s="35"/>
      <c r="AC1342" s="35"/>
      <c r="AD1342" s="35"/>
      <c r="AE1342" s="35"/>
      <c r="AF1342" s="35"/>
      <c r="AG1342" s="35"/>
      <c r="AH1342" s="35"/>
    </row>
    <row r="1343" spans="2:36" x14ac:dyDescent="0.25">
      <c r="B1343" s="5">
        <v>734</v>
      </c>
      <c r="C1343" s="34">
        <v>45979</v>
      </c>
      <c r="D1343" s="5" t="s">
        <v>380</v>
      </c>
      <c r="E1343" s="36">
        <f>O1343*O2</f>
        <v>257.47050000000002</v>
      </c>
      <c r="F1343" s="36">
        <f>E1343-G1343</f>
        <v>257.47050000000002</v>
      </c>
      <c r="G1343" s="36">
        <v>0</v>
      </c>
      <c r="H1343" s="34">
        <v>45989</v>
      </c>
      <c r="I1343" s="34"/>
      <c r="J1343" s="34">
        <v>45986</v>
      </c>
      <c r="K1343" s="34" t="s">
        <v>310</v>
      </c>
      <c r="L1343" s="34" t="s">
        <v>309</v>
      </c>
      <c r="M1343" s="34" t="s">
        <v>308</v>
      </c>
      <c r="N1343" s="34" t="s">
        <v>355</v>
      </c>
      <c r="O1343" s="47">
        <v>276.85000000000002</v>
      </c>
      <c r="Q1343" s="35"/>
      <c r="R1343" s="35"/>
      <c r="S1343" s="35"/>
      <c r="T1343" s="35"/>
      <c r="U1343" s="35"/>
      <c r="V1343" s="35"/>
      <c r="W1343" s="35"/>
      <c r="X1343" s="35"/>
      <c r="Y1343" s="48">
        <v>238.09</v>
      </c>
      <c r="Z1343" s="35"/>
      <c r="AA1343" s="35"/>
      <c r="AB1343" s="35"/>
      <c r="AC1343" s="35"/>
      <c r="AD1343" s="35"/>
      <c r="AE1343" s="35"/>
      <c r="AF1343" s="35"/>
      <c r="AG1343" s="35"/>
      <c r="AH1343" s="35"/>
    </row>
    <row r="1344" spans="2:36" x14ac:dyDescent="0.25">
      <c r="B1344" s="5">
        <v>731</v>
      </c>
      <c r="C1344" s="34">
        <v>45979</v>
      </c>
      <c r="D1344" s="5" t="s">
        <v>328</v>
      </c>
      <c r="E1344" s="36">
        <v>353.52</v>
      </c>
      <c r="F1344" s="36">
        <f>E1344-G1344</f>
        <v>353.52</v>
      </c>
      <c r="G1344" s="36">
        <v>0</v>
      </c>
      <c r="H1344" s="34">
        <v>45982</v>
      </c>
      <c r="I1344" s="34"/>
      <c r="J1344" s="34">
        <v>45989</v>
      </c>
      <c r="K1344" s="34" t="s">
        <v>310</v>
      </c>
      <c r="L1344" s="34" t="s">
        <v>298</v>
      </c>
      <c r="Q1344" s="35"/>
      <c r="R1344" s="35"/>
      <c r="S1344" s="35"/>
      <c r="T1344" s="35"/>
      <c r="U1344" s="35"/>
      <c r="V1344" s="35"/>
      <c r="W1344" s="35"/>
      <c r="X1344" s="35"/>
      <c r="Y1344" s="35"/>
      <c r="Z1344" s="33">
        <v>353.52</v>
      </c>
      <c r="AA1344" s="35"/>
      <c r="AB1344" s="35"/>
      <c r="AC1344" s="35"/>
      <c r="AD1344" s="35"/>
      <c r="AE1344" s="35"/>
      <c r="AF1344" s="35"/>
      <c r="AG1344" s="35"/>
      <c r="AH1344" s="35"/>
    </row>
    <row r="1345" spans="2:34" x14ac:dyDescent="0.25">
      <c r="B1345" s="5">
        <v>744</v>
      </c>
      <c r="C1345" s="34">
        <v>45982</v>
      </c>
      <c r="D1345" s="5" t="s">
        <v>23</v>
      </c>
      <c r="E1345" s="36">
        <v>37.26</v>
      </c>
      <c r="F1345" s="36">
        <f>E1345-G1345</f>
        <v>37.26</v>
      </c>
      <c r="G1345" s="36">
        <v>0</v>
      </c>
      <c r="H1345" s="34">
        <v>45988</v>
      </c>
      <c r="I1345" s="34"/>
      <c r="J1345" s="34">
        <v>45988</v>
      </c>
      <c r="K1345" s="34" t="s">
        <v>318</v>
      </c>
      <c r="L1345" s="34" t="s">
        <v>309</v>
      </c>
      <c r="M1345" s="34" t="s">
        <v>308</v>
      </c>
      <c r="Q1345" s="35"/>
      <c r="R1345" s="35"/>
      <c r="S1345" s="35"/>
      <c r="T1345" s="35"/>
      <c r="U1345" s="35"/>
      <c r="V1345" s="35"/>
      <c r="W1345" s="35"/>
      <c r="X1345" s="35"/>
      <c r="Y1345" s="35"/>
      <c r="Z1345" s="33">
        <v>37.26</v>
      </c>
      <c r="AA1345" s="35"/>
      <c r="AB1345" s="35"/>
      <c r="AC1345" s="35"/>
      <c r="AD1345" s="35"/>
      <c r="AE1345" s="35"/>
      <c r="AF1345" s="35"/>
      <c r="AG1345" s="35"/>
      <c r="AH1345" s="35"/>
    </row>
    <row r="1346" spans="2:34" x14ac:dyDescent="0.25">
      <c r="B1346" s="5">
        <v>596</v>
      </c>
      <c r="C1346" s="34">
        <v>45938</v>
      </c>
      <c r="D1346" s="5" t="s">
        <v>328</v>
      </c>
      <c r="E1346" s="36">
        <v>82</v>
      </c>
      <c r="F1346" s="36">
        <f>E1346-G1346</f>
        <v>23.759999999999998</v>
      </c>
      <c r="G1346" s="36">
        <v>58.24</v>
      </c>
      <c r="H1346" s="34">
        <v>45943</v>
      </c>
      <c r="I1346" s="34"/>
      <c r="J1346" s="34">
        <v>45989</v>
      </c>
      <c r="K1346" s="34" t="s">
        <v>351</v>
      </c>
      <c r="L1346" s="34" t="s">
        <v>303</v>
      </c>
      <c r="M1346" s="34"/>
      <c r="N1346" s="34"/>
      <c r="Q1346" s="35"/>
      <c r="R1346" s="35"/>
      <c r="S1346" s="35"/>
      <c r="T1346" s="35"/>
      <c r="U1346" s="35"/>
      <c r="V1346" s="35"/>
      <c r="W1346" s="35"/>
      <c r="X1346" s="35"/>
      <c r="Y1346" s="36">
        <v>58.24</v>
      </c>
      <c r="Z1346" s="40">
        <v>23.76</v>
      </c>
      <c r="AA1346" s="35"/>
      <c r="AB1346" s="35"/>
      <c r="AC1346" s="35"/>
      <c r="AD1346" s="35"/>
      <c r="AE1346" s="35"/>
      <c r="AF1346" s="35"/>
      <c r="AG1346" s="35"/>
      <c r="AH1346" s="35"/>
    </row>
    <row r="1347" spans="2:34" x14ac:dyDescent="0.25">
      <c r="B1347" s="5">
        <v>716</v>
      </c>
      <c r="C1347" s="34">
        <v>45975</v>
      </c>
      <c r="D1347" s="5" t="s">
        <v>371</v>
      </c>
      <c r="E1347" s="36">
        <v>5690</v>
      </c>
      <c r="F1347" s="36">
        <f>E1347-G1347</f>
        <v>5690</v>
      </c>
      <c r="G1347" s="36">
        <v>0</v>
      </c>
      <c r="H1347" s="34">
        <v>46003</v>
      </c>
      <c r="I1347" s="34"/>
      <c r="J1347" s="34">
        <v>45992</v>
      </c>
      <c r="K1347" s="34" t="s">
        <v>348</v>
      </c>
      <c r="L1347" s="34" t="s">
        <v>298</v>
      </c>
      <c r="Q1347" s="35"/>
      <c r="R1347" s="35"/>
      <c r="S1347" s="35"/>
      <c r="T1347" s="35"/>
      <c r="U1347" s="35"/>
      <c r="V1347" s="35"/>
      <c r="W1347" s="35"/>
      <c r="X1347" s="35"/>
      <c r="Y1347" s="35"/>
      <c r="Z1347" s="35"/>
      <c r="AA1347" s="35"/>
      <c r="AB1347" s="33">
        <v>5690</v>
      </c>
      <c r="AC1347" s="35"/>
      <c r="AD1347" s="35"/>
      <c r="AE1347" s="35"/>
      <c r="AF1347" s="35"/>
      <c r="AG1347" s="35"/>
      <c r="AH1347" s="35"/>
    </row>
    <row r="1348" spans="2:34" x14ac:dyDescent="0.25">
      <c r="B1348" s="5">
        <v>674</v>
      </c>
      <c r="C1348" s="34">
        <v>45958</v>
      </c>
      <c r="D1348" s="5" t="s">
        <v>379</v>
      </c>
      <c r="E1348" s="36">
        <f>'ORDINI EVASI (3)'!O1348*'[1]ORDINI COMMESSE E VARIE'!N2</f>
        <v>1896.6</v>
      </c>
      <c r="F1348" s="36">
        <f>E1348-G1348</f>
        <v>1896.6</v>
      </c>
      <c r="G1348" s="36">
        <v>0</v>
      </c>
      <c r="H1348" s="34">
        <v>46003</v>
      </c>
      <c r="I1348" s="34"/>
      <c r="J1348" s="34">
        <v>45986</v>
      </c>
      <c r="K1348" s="34" t="s">
        <v>378</v>
      </c>
      <c r="L1348" s="34" t="s">
        <v>309</v>
      </c>
      <c r="M1348" s="34" t="s">
        <v>355</v>
      </c>
      <c r="N1348" s="34" t="s">
        <v>377</v>
      </c>
      <c r="O1348" s="47">
        <v>2180</v>
      </c>
      <c r="Q1348" s="35"/>
      <c r="R1348" s="35"/>
      <c r="S1348" s="35"/>
      <c r="T1348" s="35"/>
      <c r="U1348" s="35"/>
      <c r="V1348" s="35"/>
      <c r="W1348" s="35"/>
      <c r="X1348" s="46">
        <v>1874.8</v>
      </c>
      <c r="Y1348" s="35"/>
      <c r="Z1348" s="35"/>
      <c r="AA1348" s="35"/>
      <c r="AB1348" s="35"/>
      <c r="AC1348" s="35"/>
      <c r="AD1348" s="35"/>
      <c r="AE1348" s="35"/>
      <c r="AF1348" s="35"/>
      <c r="AG1348" s="35"/>
      <c r="AH1348" s="35"/>
    </row>
    <row r="1349" spans="2:34" x14ac:dyDescent="0.25">
      <c r="B1349" s="5">
        <v>781</v>
      </c>
      <c r="C1349" s="34">
        <v>45993</v>
      </c>
      <c r="D1349" s="5" t="s">
        <v>376</v>
      </c>
      <c r="E1349" s="36">
        <v>10500</v>
      </c>
      <c r="F1349" s="36">
        <f>E1349-G1349</f>
        <v>10500</v>
      </c>
      <c r="G1349" s="36">
        <v>0</v>
      </c>
      <c r="H1349" s="34">
        <v>45996</v>
      </c>
      <c r="I1349" s="34"/>
      <c r="J1349" s="34">
        <v>45994</v>
      </c>
      <c r="K1349" s="5" t="s">
        <v>365</v>
      </c>
      <c r="L1349" s="34" t="s">
        <v>298</v>
      </c>
      <c r="Q1349" s="35"/>
      <c r="R1349" s="35"/>
      <c r="S1349" s="35"/>
      <c r="T1349" s="35"/>
      <c r="U1349" s="35"/>
      <c r="V1349" s="35"/>
      <c r="W1349" s="35"/>
      <c r="X1349" s="35"/>
      <c r="Y1349" s="35"/>
      <c r="Z1349" s="35"/>
      <c r="AA1349" s="33">
        <v>10500</v>
      </c>
      <c r="AB1349" s="35"/>
      <c r="AC1349" s="35"/>
      <c r="AD1349" s="35"/>
      <c r="AE1349" s="35"/>
      <c r="AF1349" s="35"/>
      <c r="AG1349" s="35"/>
      <c r="AH1349" s="35"/>
    </row>
    <row r="1350" spans="2:34" x14ac:dyDescent="0.25">
      <c r="B1350" s="5">
        <v>592</v>
      </c>
      <c r="C1350" s="34">
        <v>45937</v>
      </c>
      <c r="D1350" s="5" t="s">
        <v>314</v>
      </c>
      <c r="E1350" s="36">
        <v>25925.8</v>
      </c>
      <c r="F1350" s="36">
        <f>E1350-G1350</f>
        <v>25925.8</v>
      </c>
      <c r="G1350" s="36">
        <v>0</v>
      </c>
      <c r="H1350" s="34">
        <v>45989</v>
      </c>
      <c r="I1350" s="34"/>
      <c r="J1350" s="34">
        <v>45993</v>
      </c>
      <c r="K1350" s="34" t="s">
        <v>351</v>
      </c>
      <c r="L1350" s="34" t="s">
        <v>298</v>
      </c>
      <c r="M1350" s="34"/>
      <c r="Q1350" s="35"/>
      <c r="R1350" s="35"/>
      <c r="S1350" s="35"/>
      <c r="T1350" s="35"/>
      <c r="U1350" s="35"/>
      <c r="V1350" s="35"/>
      <c r="W1350" s="35"/>
      <c r="X1350" s="35"/>
      <c r="Y1350" s="35"/>
      <c r="Z1350" s="33">
        <v>25925.8</v>
      </c>
      <c r="AA1350" s="35"/>
      <c r="AB1350" s="35"/>
      <c r="AC1350" s="35"/>
      <c r="AD1350" s="35"/>
      <c r="AE1350" s="35"/>
      <c r="AF1350" s="35"/>
      <c r="AG1350" s="37"/>
      <c r="AH1350" s="37"/>
    </row>
    <row r="1351" spans="2:34" x14ac:dyDescent="0.25">
      <c r="B1351" s="5">
        <v>745</v>
      </c>
      <c r="C1351" s="34">
        <v>45982</v>
      </c>
      <c r="D1351" s="5" t="s">
        <v>314</v>
      </c>
      <c r="E1351" s="36">
        <v>440</v>
      </c>
      <c r="F1351" s="36">
        <f>E1351-G1351</f>
        <v>440</v>
      </c>
      <c r="G1351" s="36">
        <v>0</v>
      </c>
      <c r="H1351" s="34">
        <v>45994</v>
      </c>
      <c r="I1351" s="34"/>
      <c r="J1351" s="34">
        <v>45994</v>
      </c>
      <c r="K1351" s="34" t="s">
        <v>351</v>
      </c>
      <c r="L1351" s="34" t="s">
        <v>309</v>
      </c>
      <c r="M1351" s="34" t="s">
        <v>308</v>
      </c>
      <c r="Q1351" s="35"/>
      <c r="R1351" s="35"/>
      <c r="S1351" s="35"/>
      <c r="T1351" s="35"/>
      <c r="U1351" s="35"/>
      <c r="V1351" s="35"/>
      <c r="W1351" s="35"/>
      <c r="X1351" s="35"/>
      <c r="Y1351" s="35"/>
      <c r="Z1351" s="35"/>
      <c r="AA1351" s="33">
        <v>440</v>
      </c>
      <c r="AB1351" s="35"/>
      <c r="AC1351" s="35"/>
      <c r="AD1351" s="35"/>
      <c r="AE1351" s="35"/>
      <c r="AF1351" s="35"/>
      <c r="AG1351" s="35"/>
      <c r="AH1351" s="35"/>
    </row>
    <row r="1352" spans="2:34" x14ac:dyDescent="0.25">
      <c r="B1352" s="5">
        <v>784</v>
      </c>
      <c r="C1352" s="34">
        <v>45994</v>
      </c>
      <c r="D1352" s="5" t="s">
        <v>375</v>
      </c>
      <c r="E1352" s="36">
        <v>265.16000000000003</v>
      </c>
      <c r="F1352" s="36">
        <f>E1352-G1352</f>
        <v>265.16000000000003</v>
      </c>
      <c r="G1352" s="36">
        <v>0</v>
      </c>
      <c r="H1352" s="34">
        <v>45996</v>
      </c>
      <c r="I1352" s="34"/>
      <c r="J1352" s="34">
        <v>45995</v>
      </c>
      <c r="K1352" s="34" t="s">
        <v>339</v>
      </c>
      <c r="L1352" s="34" t="s">
        <v>309</v>
      </c>
      <c r="M1352" s="34" t="s">
        <v>308</v>
      </c>
      <c r="Q1352" s="35"/>
      <c r="R1352" s="35"/>
      <c r="S1352" s="35"/>
      <c r="T1352" s="35"/>
      <c r="U1352" s="35"/>
      <c r="V1352" s="35"/>
      <c r="W1352" s="35"/>
      <c r="X1352" s="35"/>
      <c r="Y1352" s="35"/>
      <c r="Z1352" s="35"/>
      <c r="AA1352" s="33">
        <v>265.16000000000003</v>
      </c>
      <c r="AB1352" s="35"/>
      <c r="AC1352" s="35"/>
      <c r="AD1352" s="35"/>
      <c r="AE1352" s="35"/>
      <c r="AF1352" s="35"/>
      <c r="AG1352" s="35"/>
      <c r="AH1352" s="35"/>
    </row>
    <row r="1353" spans="2:34" x14ac:dyDescent="0.25">
      <c r="B1353" s="5">
        <v>749</v>
      </c>
      <c r="C1353" s="34">
        <v>45985</v>
      </c>
      <c r="D1353" s="5" t="s">
        <v>300</v>
      </c>
      <c r="E1353" s="36">
        <v>77</v>
      </c>
      <c r="F1353" s="36">
        <f>E1353-G1353</f>
        <v>77</v>
      </c>
      <c r="G1353" s="36">
        <v>0</v>
      </c>
      <c r="H1353" s="34">
        <v>45994</v>
      </c>
      <c r="I1353" s="34"/>
      <c r="J1353" s="34">
        <v>45994</v>
      </c>
      <c r="K1353" s="34" t="s">
        <v>330</v>
      </c>
      <c r="L1353" s="34" t="s">
        <v>298</v>
      </c>
      <c r="Q1353" s="35"/>
      <c r="R1353" s="35"/>
      <c r="S1353" s="35"/>
      <c r="T1353" s="35"/>
      <c r="U1353" s="35"/>
      <c r="V1353" s="35"/>
      <c r="W1353" s="35"/>
      <c r="X1353" s="35"/>
      <c r="Y1353" s="35"/>
      <c r="Z1353" s="35"/>
      <c r="AA1353" s="35"/>
      <c r="AB1353" s="33">
        <v>77</v>
      </c>
      <c r="AC1353" s="35"/>
      <c r="AD1353" s="35"/>
      <c r="AE1353" s="35"/>
      <c r="AF1353" s="35"/>
      <c r="AG1353" s="35"/>
      <c r="AH1353" s="35"/>
    </row>
    <row r="1354" spans="2:34" x14ac:dyDescent="0.25">
      <c r="B1354" s="5">
        <v>724</v>
      </c>
      <c r="C1354" s="34">
        <v>45978</v>
      </c>
      <c r="D1354" s="5" t="s">
        <v>374</v>
      </c>
      <c r="E1354" s="36">
        <v>926.5</v>
      </c>
      <c r="F1354" s="36">
        <f>E1354-G1354</f>
        <v>926.5</v>
      </c>
      <c r="G1354" s="36">
        <v>0</v>
      </c>
      <c r="H1354" s="34">
        <v>46003</v>
      </c>
      <c r="I1354" s="34"/>
      <c r="J1354" s="34">
        <v>45995</v>
      </c>
      <c r="K1354" s="34" t="s">
        <v>330</v>
      </c>
      <c r="L1354" s="34" t="s">
        <v>309</v>
      </c>
      <c r="M1354" s="34" t="s">
        <v>308</v>
      </c>
      <c r="Q1354" s="41"/>
      <c r="R1354" s="41"/>
      <c r="S1354" s="41"/>
      <c r="T1354" s="41"/>
      <c r="U1354" s="41"/>
      <c r="V1354" s="41"/>
      <c r="W1354" s="41"/>
      <c r="X1354" s="41"/>
      <c r="Y1354" s="41"/>
      <c r="Z1354" s="41"/>
      <c r="AA1354" s="41"/>
      <c r="AB1354" s="33">
        <v>926.5</v>
      </c>
      <c r="AC1354" s="41"/>
      <c r="AD1354" s="41"/>
      <c r="AE1354" s="41"/>
      <c r="AF1354" s="41"/>
      <c r="AG1354" s="41"/>
      <c r="AH1354" s="41"/>
    </row>
    <row r="1355" spans="2:34" x14ac:dyDescent="0.25">
      <c r="B1355" s="5">
        <v>683</v>
      </c>
      <c r="C1355" s="34">
        <v>45959</v>
      </c>
      <c r="D1355" s="5" t="s">
        <v>175</v>
      </c>
      <c r="E1355" s="36">
        <v>120</v>
      </c>
      <c r="F1355" s="36">
        <f>E1355-G1355</f>
        <v>120</v>
      </c>
      <c r="G1355" s="36">
        <v>0</v>
      </c>
      <c r="H1355" s="34">
        <v>45959</v>
      </c>
      <c r="I1355" s="34"/>
      <c r="J1355" s="34">
        <v>45959</v>
      </c>
      <c r="K1355" s="34" t="s">
        <v>373</v>
      </c>
      <c r="L1355" s="34" t="s">
        <v>298</v>
      </c>
      <c r="M1355" s="34"/>
      <c r="N1355" s="45" t="s">
        <v>372</v>
      </c>
      <c r="Q1355" s="35"/>
      <c r="R1355" s="35"/>
      <c r="S1355" s="35"/>
      <c r="T1355" s="35"/>
      <c r="U1355" s="35"/>
      <c r="V1355" s="35"/>
      <c r="W1355" s="35"/>
      <c r="X1355" s="35"/>
      <c r="Y1355" s="35"/>
      <c r="Z1355" s="35"/>
      <c r="AA1355" s="35"/>
      <c r="AB1355" s="35"/>
      <c r="AC1355" s="35"/>
      <c r="AD1355" s="35"/>
      <c r="AE1355" s="35"/>
      <c r="AF1355" s="35"/>
      <c r="AG1355" s="35"/>
      <c r="AH1355" s="35"/>
    </row>
    <row r="1356" spans="2:34" x14ac:dyDescent="0.25">
      <c r="B1356" s="5">
        <v>751</v>
      </c>
      <c r="C1356" s="34">
        <v>45985</v>
      </c>
      <c r="D1356" s="5" t="s">
        <v>371</v>
      </c>
      <c r="E1356" s="36">
        <v>1160</v>
      </c>
      <c r="F1356" s="36">
        <f>E1356-G1356</f>
        <v>1160</v>
      </c>
      <c r="G1356" s="36">
        <v>0</v>
      </c>
      <c r="H1356" s="34">
        <v>46010</v>
      </c>
      <c r="I1356" s="34"/>
      <c r="J1356" s="34">
        <v>45996</v>
      </c>
      <c r="K1356" s="34" t="s">
        <v>348</v>
      </c>
      <c r="L1356" s="34" t="s">
        <v>298</v>
      </c>
      <c r="Q1356" s="35"/>
      <c r="R1356" s="35"/>
      <c r="S1356" s="35"/>
      <c r="T1356" s="35"/>
      <c r="U1356" s="35"/>
      <c r="V1356" s="35"/>
      <c r="W1356" s="35"/>
      <c r="X1356" s="35"/>
      <c r="Y1356" s="35"/>
      <c r="Z1356" s="35"/>
      <c r="AA1356" s="35"/>
      <c r="AB1356" s="35"/>
      <c r="AC1356" s="33">
        <v>1160</v>
      </c>
      <c r="AD1356" s="35"/>
      <c r="AE1356" s="35"/>
      <c r="AF1356" s="35"/>
      <c r="AG1356" s="35"/>
      <c r="AH1356" s="35"/>
    </row>
    <row r="1357" spans="2:34" x14ac:dyDescent="0.25">
      <c r="B1357" s="5">
        <v>769</v>
      </c>
      <c r="C1357" s="34">
        <v>45989</v>
      </c>
      <c r="D1357" s="5" t="s">
        <v>370</v>
      </c>
      <c r="E1357" s="36">
        <v>437.83</v>
      </c>
      <c r="F1357" s="36">
        <f>E1357-G1357</f>
        <v>437.83</v>
      </c>
      <c r="G1357" s="36">
        <v>0</v>
      </c>
      <c r="H1357" s="34">
        <v>45996</v>
      </c>
      <c r="I1357" s="34"/>
      <c r="J1357" s="34">
        <v>45996</v>
      </c>
      <c r="K1357" s="34" t="s">
        <v>369</v>
      </c>
      <c r="L1357" s="34" t="s">
        <v>298</v>
      </c>
      <c r="Q1357" s="35"/>
      <c r="R1357" s="35"/>
      <c r="S1357" s="35"/>
      <c r="T1357" s="35"/>
      <c r="U1357" s="35"/>
      <c r="V1357" s="35"/>
      <c r="W1357" s="35"/>
      <c r="X1357" s="35"/>
      <c r="Y1357" s="35"/>
      <c r="Z1357" s="35"/>
      <c r="AA1357" s="35"/>
      <c r="AB1357" s="35"/>
      <c r="AC1357" s="33">
        <v>437.83</v>
      </c>
      <c r="AD1357" s="35"/>
      <c r="AE1357" s="35"/>
      <c r="AF1357" s="35"/>
      <c r="AG1357" s="35"/>
      <c r="AH1357" s="35"/>
    </row>
    <row r="1358" spans="2:34" x14ac:dyDescent="0.25">
      <c r="B1358" s="5">
        <v>777</v>
      </c>
      <c r="C1358" s="34">
        <v>45992</v>
      </c>
      <c r="D1358" s="5" t="s">
        <v>368</v>
      </c>
      <c r="E1358" s="36">
        <v>5130.88</v>
      </c>
      <c r="G1358" s="36">
        <v>5130.88</v>
      </c>
      <c r="H1358" s="34">
        <v>45995</v>
      </c>
      <c r="I1358" s="34"/>
      <c r="J1358" s="34">
        <v>45996</v>
      </c>
      <c r="K1358" s="5" t="s">
        <v>354</v>
      </c>
      <c r="L1358" s="5" t="s">
        <v>298</v>
      </c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  <c r="AA1358" s="37"/>
      <c r="AB1358" s="37"/>
      <c r="AC1358" s="37"/>
      <c r="AD1358" s="37"/>
      <c r="AE1358" s="37"/>
      <c r="AF1358" s="37"/>
      <c r="AG1358" s="37"/>
      <c r="AH1358" s="37"/>
    </row>
    <row r="1359" spans="2:34" x14ac:dyDescent="0.25">
      <c r="B1359" s="5">
        <v>161</v>
      </c>
      <c r="C1359" s="34">
        <v>45727</v>
      </c>
      <c r="D1359" s="5" t="s">
        <v>23</v>
      </c>
      <c r="E1359" s="36">
        <v>5726.25</v>
      </c>
      <c r="F1359" s="36">
        <f>E1359-G1359</f>
        <v>46.5</v>
      </c>
      <c r="G1359" s="36">
        <v>5679.75</v>
      </c>
      <c r="H1359" s="34">
        <v>45734</v>
      </c>
      <c r="I1359" s="34"/>
      <c r="J1359" s="34">
        <v>45996</v>
      </c>
      <c r="K1359" s="5" t="s">
        <v>367</v>
      </c>
      <c r="L1359" s="5" t="s">
        <v>298</v>
      </c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  <c r="AA1359" s="36">
        <v>46.5</v>
      </c>
      <c r="AB1359" s="44"/>
      <c r="AC1359" s="44"/>
      <c r="AD1359" s="44"/>
      <c r="AE1359" s="44"/>
      <c r="AF1359" s="44"/>
      <c r="AG1359" s="44"/>
      <c r="AH1359" s="44"/>
    </row>
    <row r="1360" spans="2:34" x14ac:dyDescent="0.25">
      <c r="B1360" s="5">
        <v>527</v>
      </c>
      <c r="C1360" s="34">
        <v>45904</v>
      </c>
      <c r="D1360" s="5" t="s">
        <v>366</v>
      </c>
      <c r="E1360" s="36">
        <v>3710</v>
      </c>
      <c r="F1360" s="36">
        <f>E1360-G1360</f>
        <v>3710</v>
      </c>
      <c r="G1360" s="36">
        <v>0</v>
      </c>
      <c r="H1360" s="34">
        <v>46360</v>
      </c>
      <c r="I1360" s="34"/>
      <c r="J1360" s="34">
        <v>45978</v>
      </c>
      <c r="K1360" s="34" t="s">
        <v>365</v>
      </c>
      <c r="L1360" s="34" t="s">
        <v>298</v>
      </c>
      <c r="M1360" s="34"/>
      <c r="Q1360" s="35"/>
      <c r="R1360" s="35"/>
      <c r="S1360" s="35"/>
      <c r="T1360" s="35"/>
      <c r="U1360" s="35"/>
      <c r="V1360" s="35"/>
      <c r="W1360" s="35"/>
      <c r="X1360" s="35"/>
      <c r="Y1360" s="35"/>
      <c r="Z1360" s="33">
        <v>3710</v>
      </c>
      <c r="AA1360" s="35"/>
      <c r="AB1360" s="37"/>
      <c r="AC1360" s="37"/>
      <c r="AD1360" s="37"/>
      <c r="AE1360" s="37"/>
      <c r="AF1360" s="35"/>
      <c r="AG1360" s="37"/>
      <c r="AH1360" s="37"/>
    </row>
    <row r="1361" spans="1:34" x14ac:dyDescent="0.25">
      <c r="B1361" s="5">
        <v>740</v>
      </c>
      <c r="C1361" s="34">
        <v>45980</v>
      </c>
      <c r="D1361" s="5" t="s">
        <v>184</v>
      </c>
      <c r="E1361" s="36">
        <v>54.25</v>
      </c>
      <c r="F1361" s="36">
        <f>E1361-G1361</f>
        <v>54.25</v>
      </c>
      <c r="G1361" s="36">
        <v>0</v>
      </c>
      <c r="H1361" s="34">
        <v>45989</v>
      </c>
      <c r="I1361" s="34"/>
      <c r="J1361" s="34">
        <v>45987</v>
      </c>
      <c r="K1361" s="34" t="s">
        <v>364</v>
      </c>
      <c r="L1361" s="34" t="s">
        <v>298</v>
      </c>
      <c r="Q1361" s="35"/>
      <c r="R1361" s="35"/>
      <c r="S1361" s="35"/>
      <c r="T1361" s="35"/>
      <c r="U1361" s="35"/>
      <c r="V1361" s="35"/>
      <c r="W1361" s="35"/>
      <c r="X1361" s="35"/>
      <c r="Y1361" s="35"/>
      <c r="Z1361" s="35"/>
      <c r="AA1361" s="35"/>
      <c r="AB1361" s="35"/>
      <c r="AC1361" s="35"/>
      <c r="AD1361" s="35"/>
      <c r="AE1361" s="35"/>
      <c r="AF1361" s="35"/>
      <c r="AG1361" s="35"/>
      <c r="AH1361" s="35"/>
    </row>
    <row r="1362" spans="1:34" x14ac:dyDescent="0.25">
      <c r="B1362" s="5">
        <v>555</v>
      </c>
      <c r="C1362" s="34">
        <v>45919</v>
      </c>
      <c r="D1362" s="5" t="s">
        <v>363</v>
      </c>
      <c r="E1362" s="36">
        <v>3750</v>
      </c>
      <c r="F1362" s="36">
        <f>E1362-G1362</f>
        <v>0</v>
      </c>
      <c r="G1362" s="36">
        <v>3750</v>
      </c>
      <c r="H1362" s="34">
        <v>45930</v>
      </c>
      <c r="I1362" s="34"/>
      <c r="K1362" s="34" t="s">
        <v>362</v>
      </c>
      <c r="L1362" s="34" t="s">
        <v>298</v>
      </c>
      <c r="M1362" s="34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7"/>
      <c r="AH1362" s="37"/>
    </row>
    <row r="1363" spans="1:34" x14ac:dyDescent="0.25">
      <c r="B1363" s="5">
        <v>750</v>
      </c>
      <c r="C1363" s="34">
        <v>45985</v>
      </c>
      <c r="D1363" s="5" t="s">
        <v>173</v>
      </c>
      <c r="E1363" s="36">
        <v>67.2</v>
      </c>
      <c r="F1363" s="36">
        <f>E1363-G1363</f>
        <v>67.2</v>
      </c>
      <c r="G1363" s="36">
        <v>0</v>
      </c>
      <c r="H1363" s="34">
        <v>45990</v>
      </c>
      <c r="I1363" s="34"/>
      <c r="J1363" s="34">
        <v>45996</v>
      </c>
      <c r="K1363" s="34" t="s">
        <v>361</v>
      </c>
      <c r="L1363" s="34" t="s">
        <v>298</v>
      </c>
      <c r="Q1363" s="35"/>
      <c r="R1363" s="35"/>
      <c r="S1363" s="35"/>
      <c r="T1363" s="35"/>
      <c r="U1363" s="35"/>
      <c r="V1363" s="35"/>
      <c r="W1363" s="35"/>
      <c r="X1363" s="35"/>
      <c r="Y1363" s="35"/>
      <c r="Z1363" s="35"/>
      <c r="AA1363" s="36">
        <v>67.2</v>
      </c>
      <c r="AB1363" s="35"/>
      <c r="AC1363" s="35"/>
      <c r="AD1363" s="35"/>
      <c r="AE1363" s="35"/>
      <c r="AF1363" s="35"/>
      <c r="AG1363" s="35"/>
      <c r="AH1363" s="35"/>
    </row>
    <row r="1364" spans="1:34" x14ac:dyDescent="0.25">
      <c r="B1364" s="5">
        <v>641</v>
      </c>
      <c r="C1364" s="34">
        <v>45947</v>
      </c>
      <c r="D1364" s="5" t="s">
        <v>335</v>
      </c>
      <c r="E1364" s="36">
        <v>4961.0600000000004</v>
      </c>
      <c r="F1364" s="36">
        <f>E1364-G1364</f>
        <v>4961.0600000000004</v>
      </c>
      <c r="G1364" s="36">
        <v>0</v>
      </c>
      <c r="H1364" s="34">
        <v>45975</v>
      </c>
      <c r="I1364" s="34"/>
      <c r="J1364" s="34">
        <v>45989</v>
      </c>
      <c r="K1364" s="34" t="s">
        <v>354</v>
      </c>
      <c r="L1364" s="34" t="s">
        <v>298</v>
      </c>
      <c r="Q1364" s="35"/>
      <c r="R1364" s="35"/>
      <c r="S1364" s="35"/>
      <c r="T1364" s="35"/>
      <c r="U1364" s="35"/>
      <c r="V1364" s="35"/>
      <c r="W1364" s="35"/>
      <c r="X1364" s="35"/>
      <c r="Y1364" s="35"/>
      <c r="Z1364" s="36">
        <v>4961.0600000000004</v>
      </c>
      <c r="AA1364" s="35"/>
      <c r="AB1364" s="35"/>
      <c r="AC1364" s="35"/>
      <c r="AD1364" s="35"/>
      <c r="AE1364" s="35"/>
      <c r="AF1364" s="35"/>
      <c r="AG1364" s="35"/>
      <c r="AH1364" s="35"/>
    </row>
    <row r="1365" spans="1:34" x14ac:dyDescent="0.25">
      <c r="A1365" s="5">
        <v>26</v>
      </c>
      <c r="B1365" s="5">
        <v>796</v>
      </c>
      <c r="C1365" s="34">
        <v>46001</v>
      </c>
      <c r="D1365" s="5" t="s">
        <v>23</v>
      </c>
      <c r="E1365" s="36">
        <v>66</v>
      </c>
      <c r="F1365" s="36">
        <f>E1365-G1365</f>
        <v>66</v>
      </c>
      <c r="G1365" s="36">
        <v>0</v>
      </c>
      <c r="H1365" s="34">
        <v>46006</v>
      </c>
      <c r="I1365" s="34">
        <v>46001</v>
      </c>
      <c r="J1365" s="34">
        <v>46003</v>
      </c>
      <c r="K1365" s="34" t="s">
        <v>337</v>
      </c>
      <c r="L1365" s="34" t="s">
        <v>309</v>
      </c>
      <c r="M1365" s="34" t="s">
        <v>308</v>
      </c>
      <c r="Q1365" s="37"/>
      <c r="R1365" s="37"/>
      <c r="S1365" s="37"/>
      <c r="T1365" s="37"/>
      <c r="U1365" s="37"/>
      <c r="V1365" s="37"/>
      <c r="W1365" s="37"/>
      <c r="X1365" s="37"/>
      <c r="Y1365" s="37"/>
      <c r="Z1365" s="37"/>
      <c r="AA1365" s="38">
        <v>66</v>
      </c>
      <c r="AB1365" s="37"/>
      <c r="AC1365" s="37"/>
      <c r="AD1365" s="37"/>
      <c r="AE1365" s="37"/>
      <c r="AF1365" s="37"/>
      <c r="AG1365" s="37"/>
      <c r="AH1365" s="37"/>
    </row>
    <row r="1366" spans="1:34" x14ac:dyDescent="0.25">
      <c r="B1366" s="5">
        <v>753</v>
      </c>
      <c r="C1366" s="34">
        <v>45986</v>
      </c>
      <c r="D1366" s="5" t="s">
        <v>23</v>
      </c>
      <c r="E1366" s="36">
        <v>2744.22</v>
      </c>
      <c r="F1366" s="36">
        <f>E1366-G1366</f>
        <v>51.599999999999909</v>
      </c>
      <c r="G1366" s="36">
        <v>2692.62</v>
      </c>
      <c r="H1366" s="34">
        <v>45994</v>
      </c>
      <c r="J1366" s="34">
        <v>46002</v>
      </c>
      <c r="K1366" s="34" t="s">
        <v>299</v>
      </c>
      <c r="L1366" s="34" t="s">
        <v>303</v>
      </c>
      <c r="M1366" s="34" t="s">
        <v>308</v>
      </c>
      <c r="Q1366" s="35"/>
      <c r="R1366" s="35"/>
      <c r="S1366" s="35"/>
      <c r="T1366" s="35"/>
      <c r="U1366" s="35"/>
      <c r="V1366" s="35"/>
      <c r="W1366" s="35"/>
      <c r="X1366" s="35"/>
      <c r="Y1366" s="35"/>
      <c r="Z1366" s="35"/>
      <c r="AA1366" s="36">
        <v>2744.22</v>
      </c>
      <c r="AB1366" s="35"/>
      <c r="AC1366" s="35"/>
      <c r="AD1366" s="35"/>
      <c r="AE1366" s="35"/>
      <c r="AF1366" s="35"/>
      <c r="AG1366" s="35"/>
      <c r="AH1366" s="35"/>
    </row>
    <row r="1367" spans="1:34" x14ac:dyDescent="0.25">
      <c r="B1367" s="5">
        <v>679</v>
      </c>
      <c r="C1367" s="34">
        <v>45958</v>
      </c>
      <c r="D1367" s="5" t="s">
        <v>23</v>
      </c>
      <c r="E1367" s="36">
        <v>3961.47</v>
      </c>
      <c r="F1367" s="36">
        <f>E1367-G1367</f>
        <v>3961.47</v>
      </c>
      <c r="G1367" s="36">
        <v>0</v>
      </c>
      <c r="H1367" s="34">
        <v>45966</v>
      </c>
      <c r="J1367" s="34">
        <v>46001</v>
      </c>
      <c r="K1367" s="34" t="s">
        <v>304</v>
      </c>
      <c r="L1367" s="34" t="s">
        <v>303</v>
      </c>
      <c r="M1367" s="34" t="s">
        <v>308</v>
      </c>
      <c r="Q1367" s="35"/>
      <c r="R1367" s="35"/>
      <c r="S1367" s="35"/>
      <c r="T1367" s="35"/>
      <c r="U1367" s="35"/>
      <c r="V1367" s="35"/>
      <c r="W1367" s="35"/>
      <c r="X1367" s="35"/>
      <c r="Y1367" s="35"/>
      <c r="Z1367" s="33">
        <v>3914.82</v>
      </c>
      <c r="AA1367" s="40">
        <v>46.65</v>
      </c>
      <c r="AB1367" s="35"/>
      <c r="AC1367" s="35"/>
      <c r="AD1367" s="35"/>
      <c r="AE1367" s="35"/>
      <c r="AF1367" s="35"/>
      <c r="AG1367" s="35"/>
      <c r="AH1367" s="35"/>
    </row>
    <row r="1368" spans="1:34" x14ac:dyDescent="0.25">
      <c r="B1368" s="5">
        <v>741</v>
      </c>
      <c r="C1368" s="34">
        <v>45981</v>
      </c>
      <c r="D1368" s="5" t="s">
        <v>360</v>
      </c>
      <c r="E1368" s="36">
        <v>1563</v>
      </c>
      <c r="F1368" s="36">
        <f>E1368-G1368</f>
        <v>1563</v>
      </c>
      <c r="G1368" s="36">
        <v>0</v>
      </c>
      <c r="H1368" s="34">
        <v>46001</v>
      </c>
      <c r="I1368" s="34">
        <v>46001</v>
      </c>
      <c r="J1368" s="34">
        <v>45942</v>
      </c>
      <c r="K1368" s="34" t="s">
        <v>359</v>
      </c>
      <c r="L1368" s="34" t="s">
        <v>298</v>
      </c>
      <c r="Q1368" s="35"/>
      <c r="R1368" s="35"/>
      <c r="S1368" s="35"/>
      <c r="T1368" s="35"/>
      <c r="U1368" s="35"/>
      <c r="V1368" s="35"/>
      <c r="W1368" s="35"/>
      <c r="X1368" s="35"/>
      <c r="Y1368" s="35"/>
      <c r="Z1368" s="35"/>
      <c r="AA1368" s="33">
        <v>1563</v>
      </c>
      <c r="AB1368" s="35"/>
      <c r="AC1368" s="35"/>
      <c r="AD1368" s="35"/>
      <c r="AE1368" s="35"/>
      <c r="AF1368" s="35"/>
      <c r="AG1368" s="35"/>
      <c r="AH1368" s="35"/>
    </row>
    <row r="1369" spans="1:34" x14ac:dyDescent="0.25">
      <c r="B1369" s="5">
        <v>736</v>
      </c>
      <c r="C1369" s="34">
        <v>45980</v>
      </c>
      <c r="D1369" s="5" t="s">
        <v>23</v>
      </c>
      <c r="E1369" s="36">
        <v>164.01</v>
      </c>
      <c r="F1369" s="36">
        <f>E1369-G1369</f>
        <v>164.01</v>
      </c>
      <c r="G1369" s="36">
        <v>0</v>
      </c>
      <c r="H1369" s="34">
        <v>46006</v>
      </c>
      <c r="J1369" s="34">
        <v>46001</v>
      </c>
      <c r="K1369" s="34" t="s">
        <v>358</v>
      </c>
      <c r="L1369" s="34" t="s">
        <v>298</v>
      </c>
      <c r="Q1369" s="35"/>
      <c r="R1369" s="35"/>
      <c r="S1369" s="35"/>
      <c r="T1369" s="35"/>
      <c r="U1369" s="35"/>
      <c r="V1369" s="35"/>
      <c r="W1369" s="35"/>
      <c r="X1369" s="35"/>
      <c r="Y1369" s="35"/>
      <c r="Z1369" s="35"/>
      <c r="AA1369" s="33">
        <v>164.01</v>
      </c>
      <c r="AB1369" s="35"/>
      <c r="AC1369" s="35"/>
      <c r="AD1369" s="35"/>
      <c r="AE1369" s="35"/>
      <c r="AF1369" s="35"/>
      <c r="AG1369" s="35"/>
      <c r="AH1369" s="35"/>
    </row>
    <row r="1370" spans="1:34" x14ac:dyDescent="0.25">
      <c r="B1370" s="5">
        <v>708</v>
      </c>
      <c r="C1370" s="34">
        <v>45971</v>
      </c>
      <c r="D1370" s="5" t="s">
        <v>23</v>
      </c>
      <c r="E1370" s="36">
        <v>670.5</v>
      </c>
      <c r="F1370" s="36">
        <f>E1370-G1370</f>
        <v>670.5</v>
      </c>
      <c r="G1370" s="36">
        <v>0</v>
      </c>
      <c r="H1370" s="34">
        <v>46003</v>
      </c>
      <c r="J1370" s="34">
        <v>46001</v>
      </c>
      <c r="K1370" s="5" t="s">
        <v>304</v>
      </c>
      <c r="L1370" s="5" t="s">
        <v>298</v>
      </c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3">
        <v>670.5</v>
      </c>
      <c r="AB1370" s="35"/>
      <c r="AC1370" s="35"/>
      <c r="AD1370" s="35"/>
      <c r="AE1370" s="35"/>
      <c r="AF1370" s="35"/>
      <c r="AG1370" s="35"/>
      <c r="AH1370" s="35"/>
    </row>
    <row r="1371" spans="1:34" x14ac:dyDescent="0.25">
      <c r="B1371" s="5">
        <v>754</v>
      </c>
      <c r="C1371" s="34">
        <v>45986</v>
      </c>
      <c r="D1371" s="5" t="s">
        <v>357</v>
      </c>
      <c r="E1371" s="36">
        <v>130.9</v>
      </c>
      <c r="F1371" s="36">
        <f>E1371-G1371</f>
        <v>130.9</v>
      </c>
      <c r="G1371" s="36">
        <v>0</v>
      </c>
      <c r="H1371" s="34">
        <v>45996</v>
      </c>
      <c r="J1371" s="34">
        <v>46006</v>
      </c>
      <c r="K1371" s="34" t="s">
        <v>299</v>
      </c>
      <c r="L1371" s="34" t="s">
        <v>298</v>
      </c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3">
        <v>130.9</v>
      </c>
      <c r="AB1371" s="35"/>
      <c r="AC1371" s="35"/>
      <c r="AD1371" s="35"/>
      <c r="AE1371" s="35"/>
      <c r="AF1371" s="35"/>
      <c r="AG1371" s="35"/>
      <c r="AH1371" s="35"/>
    </row>
    <row r="1372" spans="1:34" x14ac:dyDescent="0.25">
      <c r="B1372" s="5">
        <v>737</v>
      </c>
      <c r="C1372" s="34">
        <v>45980</v>
      </c>
      <c r="D1372" s="5" t="s">
        <v>352</v>
      </c>
      <c r="E1372" s="36">
        <v>610</v>
      </c>
      <c r="F1372" s="36">
        <f>E1372-G1372</f>
        <v>610</v>
      </c>
      <c r="G1372" s="36">
        <v>0</v>
      </c>
      <c r="H1372" s="34">
        <v>45989</v>
      </c>
      <c r="J1372" s="34">
        <v>46003</v>
      </c>
      <c r="K1372" s="34" t="s">
        <v>299</v>
      </c>
      <c r="L1372" s="34" t="s">
        <v>298</v>
      </c>
      <c r="Q1372" s="35"/>
      <c r="R1372" s="35"/>
      <c r="S1372" s="35"/>
      <c r="T1372" s="35"/>
      <c r="U1372" s="35"/>
      <c r="V1372" s="35"/>
      <c r="W1372" s="35"/>
      <c r="X1372" s="35"/>
      <c r="Y1372" s="35"/>
      <c r="Z1372" s="35"/>
      <c r="AA1372" s="35"/>
      <c r="AB1372" s="33">
        <v>610</v>
      </c>
      <c r="AC1372" s="35"/>
      <c r="AD1372" s="35"/>
      <c r="AE1372" s="35"/>
      <c r="AF1372" s="35"/>
      <c r="AG1372" s="35"/>
      <c r="AH1372" s="35"/>
    </row>
    <row r="1373" spans="1:34" x14ac:dyDescent="0.25">
      <c r="B1373" s="5">
        <v>778</v>
      </c>
      <c r="C1373" s="34">
        <v>45992</v>
      </c>
      <c r="D1373" s="5" t="s">
        <v>307</v>
      </c>
      <c r="E1373" s="36">
        <v>20</v>
      </c>
      <c r="F1373" s="36">
        <f>E1373-G1373</f>
        <v>20</v>
      </c>
      <c r="G1373" s="36">
        <v>0</v>
      </c>
      <c r="H1373" s="34">
        <v>45995</v>
      </c>
      <c r="J1373" s="34">
        <v>46001</v>
      </c>
      <c r="K1373" s="34" t="s">
        <v>318</v>
      </c>
      <c r="L1373" s="34" t="s">
        <v>298</v>
      </c>
      <c r="Q1373" s="35"/>
      <c r="R1373" s="35"/>
      <c r="S1373" s="35"/>
      <c r="T1373" s="35"/>
      <c r="U1373" s="35"/>
      <c r="V1373" s="35"/>
      <c r="W1373" s="35"/>
      <c r="X1373" s="35"/>
      <c r="Y1373" s="35"/>
      <c r="Z1373" s="35"/>
      <c r="AA1373" s="35"/>
      <c r="AB1373" s="35"/>
      <c r="AC1373" s="33">
        <v>20</v>
      </c>
      <c r="AD1373" s="35"/>
      <c r="AE1373" s="35"/>
      <c r="AF1373" s="35"/>
      <c r="AG1373" s="35"/>
      <c r="AH1373" s="35"/>
    </row>
    <row r="1374" spans="1:34" x14ac:dyDescent="0.25">
      <c r="B1374" s="5">
        <v>787</v>
      </c>
      <c r="C1374" s="34">
        <v>45995</v>
      </c>
      <c r="D1374" s="5" t="s">
        <v>307</v>
      </c>
      <c r="E1374" s="36">
        <v>93.84</v>
      </c>
      <c r="F1374" s="36">
        <f>E1374-G1374</f>
        <v>93.84</v>
      </c>
      <c r="G1374" s="36">
        <v>0</v>
      </c>
      <c r="H1374" s="34">
        <v>46000</v>
      </c>
      <c r="J1374" s="34">
        <v>46001</v>
      </c>
      <c r="K1374" s="34" t="s">
        <v>301</v>
      </c>
      <c r="L1374" s="34" t="s">
        <v>309</v>
      </c>
      <c r="M1374" s="34" t="s">
        <v>308</v>
      </c>
      <c r="Q1374" s="35"/>
      <c r="R1374" s="35"/>
      <c r="S1374" s="35"/>
      <c r="T1374" s="35"/>
      <c r="U1374" s="35"/>
      <c r="V1374" s="35"/>
      <c r="W1374" s="35"/>
      <c r="X1374" s="35"/>
      <c r="Y1374" s="35"/>
      <c r="Z1374" s="35"/>
      <c r="AA1374" s="35"/>
      <c r="AB1374" s="35"/>
      <c r="AC1374" s="33">
        <v>93.84</v>
      </c>
      <c r="AD1374" s="35"/>
      <c r="AE1374" s="35"/>
      <c r="AF1374" s="35"/>
      <c r="AG1374" s="35"/>
      <c r="AH1374" s="35"/>
    </row>
    <row r="1375" spans="1:34" x14ac:dyDescent="0.25">
      <c r="B1375" s="5">
        <v>767</v>
      </c>
      <c r="C1375" s="34">
        <v>45989</v>
      </c>
      <c r="D1375" s="5" t="s">
        <v>284</v>
      </c>
      <c r="E1375" s="36">
        <v>53.4</v>
      </c>
      <c r="F1375" s="36">
        <f>E1375-G1375</f>
        <v>53.4</v>
      </c>
      <c r="G1375" s="36">
        <v>0</v>
      </c>
      <c r="H1375" s="34">
        <v>46003</v>
      </c>
      <c r="J1375" s="34">
        <v>46001</v>
      </c>
      <c r="K1375" s="34" t="s">
        <v>299</v>
      </c>
      <c r="L1375" s="34" t="s">
        <v>298</v>
      </c>
      <c r="N1375" s="5" t="s">
        <v>355</v>
      </c>
      <c r="Q1375" s="35"/>
      <c r="R1375" s="35"/>
      <c r="S1375" s="35"/>
      <c r="T1375" s="35"/>
      <c r="U1375" s="35"/>
      <c r="V1375" s="35"/>
      <c r="W1375" s="35"/>
      <c r="X1375" s="35"/>
      <c r="Y1375" s="35"/>
      <c r="Z1375" s="35"/>
      <c r="AA1375" s="35"/>
      <c r="AB1375" s="35"/>
      <c r="AC1375" s="35"/>
      <c r="AD1375" s="35"/>
      <c r="AE1375" s="35"/>
      <c r="AF1375" s="35"/>
      <c r="AG1375" s="35"/>
      <c r="AH1375" s="35"/>
    </row>
    <row r="1376" spans="1:34" x14ac:dyDescent="0.25">
      <c r="B1376" s="5">
        <v>764</v>
      </c>
      <c r="C1376" s="34">
        <v>45988</v>
      </c>
      <c r="D1376" s="5" t="s">
        <v>356</v>
      </c>
      <c r="E1376" s="36">
        <v>2376.54</v>
      </c>
      <c r="F1376" s="36">
        <f>E1376-G1376</f>
        <v>2376.54</v>
      </c>
      <c r="G1376" s="36">
        <v>0</v>
      </c>
      <c r="H1376" s="34">
        <v>46001</v>
      </c>
      <c r="J1376" s="34">
        <v>46002</v>
      </c>
      <c r="K1376" s="34" t="s">
        <v>304</v>
      </c>
      <c r="L1376" s="34" t="s">
        <v>298</v>
      </c>
      <c r="M1376" s="34"/>
      <c r="N1376" s="34" t="s">
        <v>355</v>
      </c>
      <c r="Q1376" s="35"/>
      <c r="R1376" s="35"/>
      <c r="S1376" s="35"/>
      <c r="T1376" s="35"/>
      <c r="U1376" s="35"/>
      <c r="V1376" s="35"/>
      <c r="W1376" s="35"/>
      <c r="X1376" s="35"/>
      <c r="Y1376" s="35"/>
      <c r="Z1376" s="35"/>
      <c r="AA1376" s="35"/>
      <c r="AB1376" s="35"/>
      <c r="AC1376" s="35"/>
      <c r="AD1376" s="35"/>
      <c r="AE1376" s="35"/>
      <c r="AF1376" s="35"/>
      <c r="AG1376" s="35"/>
      <c r="AH1376" s="35"/>
    </row>
    <row r="1377" spans="1:34" x14ac:dyDescent="0.25">
      <c r="B1377" s="5">
        <v>695</v>
      </c>
      <c r="C1377" s="34">
        <v>45964</v>
      </c>
      <c r="D1377" s="5" t="s">
        <v>335</v>
      </c>
      <c r="E1377" s="36">
        <v>216.28</v>
      </c>
      <c r="F1377" s="36">
        <f>E1377-G1377</f>
        <v>216.28</v>
      </c>
      <c r="G1377" s="36">
        <v>0</v>
      </c>
      <c r="H1377" s="34">
        <v>45971</v>
      </c>
      <c r="J1377" s="34">
        <v>46003</v>
      </c>
      <c r="K1377" s="34" t="s">
        <v>354</v>
      </c>
      <c r="L1377" s="34" t="s">
        <v>298</v>
      </c>
      <c r="Q1377" s="35"/>
      <c r="R1377" s="35"/>
      <c r="S1377" s="35"/>
      <c r="T1377" s="35"/>
      <c r="U1377" s="35"/>
      <c r="V1377" s="35"/>
      <c r="W1377" s="35"/>
      <c r="X1377" s="35"/>
      <c r="Y1377" s="35"/>
      <c r="Z1377" s="35"/>
      <c r="AA1377" s="33">
        <v>216.28</v>
      </c>
      <c r="AB1377" s="35"/>
      <c r="AC1377" s="35"/>
      <c r="AD1377" s="35"/>
      <c r="AE1377" s="35"/>
      <c r="AF1377" s="35"/>
      <c r="AG1377" s="35"/>
      <c r="AH1377" s="35"/>
    </row>
    <row r="1378" spans="1:34" x14ac:dyDescent="0.25">
      <c r="A1378" s="5">
        <v>26</v>
      </c>
      <c r="B1378" s="5">
        <v>785</v>
      </c>
      <c r="C1378" s="34">
        <v>45995</v>
      </c>
      <c r="D1378" s="5" t="s">
        <v>183</v>
      </c>
      <c r="E1378" s="36">
        <v>228.26</v>
      </c>
      <c r="F1378" s="36">
        <f>E1378-G1378</f>
        <v>228.26</v>
      </c>
      <c r="G1378" s="36">
        <v>0</v>
      </c>
      <c r="H1378" s="34">
        <v>46029</v>
      </c>
      <c r="J1378" s="34">
        <v>46003</v>
      </c>
      <c r="K1378" s="34" t="s">
        <v>301</v>
      </c>
      <c r="L1378" s="34" t="s">
        <v>309</v>
      </c>
      <c r="M1378" s="34" t="s">
        <v>308</v>
      </c>
      <c r="Q1378" s="35"/>
      <c r="R1378" s="35"/>
      <c r="S1378" s="35"/>
      <c r="T1378" s="35"/>
      <c r="U1378" s="35"/>
      <c r="V1378" s="35"/>
      <c r="W1378" s="35"/>
      <c r="X1378" s="35"/>
      <c r="Y1378" s="35"/>
      <c r="Z1378" s="35"/>
      <c r="AA1378" s="33">
        <v>228.26</v>
      </c>
      <c r="AB1378" s="35"/>
      <c r="AC1378" s="35"/>
      <c r="AD1378" s="35"/>
      <c r="AE1378" s="35"/>
      <c r="AF1378" s="35"/>
      <c r="AG1378" s="35"/>
      <c r="AH1378" s="35"/>
    </row>
    <row r="1379" spans="1:34" x14ac:dyDescent="0.25">
      <c r="B1379" s="5">
        <v>632</v>
      </c>
      <c r="C1379" s="34">
        <v>45945</v>
      </c>
      <c r="D1379" s="5" t="s">
        <v>353</v>
      </c>
      <c r="E1379" s="36">
        <v>27420</v>
      </c>
      <c r="F1379" s="36">
        <f>E1379-G1379</f>
        <v>27420</v>
      </c>
      <c r="G1379" s="36">
        <v>0</v>
      </c>
      <c r="H1379" s="34">
        <v>46010</v>
      </c>
      <c r="J1379" s="34">
        <v>46001</v>
      </c>
      <c r="K1379" s="34" t="s">
        <v>351</v>
      </c>
      <c r="L1379" s="34" t="s">
        <v>309</v>
      </c>
      <c r="M1379" s="34" t="s">
        <v>308</v>
      </c>
      <c r="Q1379" s="41"/>
      <c r="R1379" s="43"/>
      <c r="S1379" s="42"/>
      <c r="T1379" s="35"/>
      <c r="U1379" s="35"/>
      <c r="V1379" s="35"/>
      <c r="W1379" s="35"/>
      <c r="X1379" s="35"/>
      <c r="Y1379" s="35"/>
      <c r="Z1379" s="35"/>
      <c r="AA1379" s="40">
        <v>13710</v>
      </c>
      <c r="AB1379" s="35"/>
      <c r="AC1379" s="35"/>
      <c r="AD1379" s="35"/>
      <c r="AE1379" s="35"/>
      <c r="AF1379" s="35"/>
      <c r="AG1379" s="35"/>
      <c r="AH1379" s="35"/>
    </row>
    <row r="1380" spans="1:34" x14ac:dyDescent="0.25">
      <c r="A1380" s="5">
        <v>26</v>
      </c>
      <c r="B1380" s="5">
        <v>805</v>
      </c>
      <c r="C1380" s="34">
        <v>46003</v>
      </c>
      <c r="D1380" s="5" t="s">
        <v>352</v>
      </c>
      <c r="E1380" s="36">
        <v>40</v>
      </c>
      <c r="F1380" s="36">
        <f>E1380-G1380</f>
        <v>40</v>
      </c>
      <c r="G1380" s="36">
        <v>0</v>
      </c>
      <c r="H1380" s="34">
        <v>46006</v>
      </c>
      <c r="I1380" s="34">
        <v>46006</v>
      </c>
      <c r="J1380" s="34">
        <v>46006</v>
      </c>
      <c r="K1380" s="34" t="s">
        <v>337</v>
      </c>
      <c r="L1380" s="34" t="s">
        <v>298</v>
      </c>
      <c r="Q1380" s="37"/>
      <c r="R1380" s="37"/>
      <c r="S1380" s="37"/>
      <c r="T1380" s="37"/>
      <c r="U1380" s="37"/>
      <c r="V1380" s="37"/>
      <c r="W1380" s="37"/>
      <c r="X1380" s="37"/>
      <c r="Y1380" s="37"/>
      <c r="Z1380" s="37"/>
      <c r="AA1380" s="37"/>
      <c r="AB1380" s="38">
        <v>40</v>
      </c>
      <c r="AC1380" s="37"/>
      <c r="AD1380" s="37"/>
      <c r="AE1380" s="37"/>
      <c r="AF1380" s="37"/>
      <c r="AG1380" s="37"/>
      <c r="AH1380" s="37"/>
    </row>
    <row r="1381" spans="1:34" x14ac:dyDescent="0.25">
      <c r="B1381" s="5">
        <v>759</v>
      </c>
      <c r="C1381" s="34">
        <v>45987</v>
      </c>
      <c r="D1381" s="5" t="s">
        <v>352</v>
      </c>
      <c r="E1381" s="36">
        <v>120</v>
      </c>
      <c r="F1381" s="36">
        <f>E1381-G1381</f>
        <v>120</v>
      </c>
      <c r="G1381" s="36">
        <v>0</v>
      </c>
      <c r="H1381" s="34">
        <v>45994</v>
      </c>
      <c r="J1381" s="34">
        <v>46003</v>
      </c>
      <c r="K1381" s="34" t="s">
        <v>337</v>
      </c>
      <c r="L1381" s="34" t="s">
        <v>298</v>
      </c>
      <c r="Q1381" s="37"/>
      <c r="R1381" s="35"/>
      <c r="S1381" s="35"/>
      <c r="T1381" s="35"/>
      <c r="U1381" s="35"/>
      <c r="V1381" s="35"/>
      <c r="W1381" s="35"/>
      <c r="X1381" s="35"/>
      <c r="Y1381" s="35"/>
      <c r="Z1381" s="35"/>
      <c r="AA1381" s="35"/>
      <c r="AB1381" s="33">
        <v>120</v>
      </c>
      <c r="AC1381" s="35"/>
      <c r="AD1381" s="35"/>
      <c r="AE1381" s="35"/>
      <c r="AF1381" s="35"/>
      <c r="AG1381" s="35"/>
      <c r="AH1381" s="35"/>
    </row>
    <row r="1382" spans="1:34" x14ac:dyDescent="0.25">
      <c r="B1382" s="5">
        <v>582</v>
      </c>
      <c r="C1382" s="34">
        <v>45933</v>
      </c>
      <c r="D1382" s="5" t="s">
        <v>23</v>
      </c>
      <c r="E1382" s="36">
        <v>4304.1099999999997</v>
      </c>
      <c r="F1382" s="36">
        <f>E1382-G1382</f>
        <v>118.75</v>
      </c>
      <c r="G1382" s="36">
        <v>4185.3599999999997</v>
      </c>
      <c r="H1382" s="34">
        <v>45939</v>
      </c>
      <c r="J1382" s="34">
        <v>46006</v>
      </c>
      <c r="K1382" s="34" t="s">
        <v>351</v>
      </c>
      <c r="L1382" s="5" t="s">
        <v>303</v>
      </c>
      <c r="M1382" s="5" t="s">
        <v>350</v>
      </c>
      <c r="Q1382" s="35"/>
      <c r="R1382" s="35"/>
      <c r="S1382" s="35"/>
      <c r="T1382" s="35"/>
      <c r="U1382" s="35"/>
      <c r="V1382" s="35"/>
      <c r="W1382" s="35"/>
      <c r="X1382" s="35"/>
      <c r="Y1382" s="35"/>
      <c r="Z1382" s="37"/>
      <c r="AA1382" s="40">
        <v>118.75</v>
      </c>
      <c r="AB1382" s="35"/>
      <c r="AC1382" s="35"/>
      <c r="AD1382" s="35"/>
      <c r="AE1382" s="35"/>
      <c r="AF1382" s="35"/>
      <c r="AG1382" s="37"/>
      <c r="AH1382" s="37"/>
    </row>
    <row r="1383" spans="1:34" x14ac:dyDescent="0.25">
      <c r="B1383" s="5">
        <v>689</v>
      </c>
      <c r="C1383" s="34">
        <v>45960</v>
      </c>
      <c r="D1383" s="5" t="s">
        <v>349</v>
      </c>
      <c r="E1383" s="36">
        <v>8174.52</v>
      </c>
      <c r="F1383" s="36">
        <f>E1383-G1383</f>
        <v>8174.52</v>
      </c>
      <c r="G1383" s="36">
        <v>0</v>
      </c>
      <c r="H1383" s="34">
        <v>46006</v>
      </c>
      <c r="J1383" s="34">
        <v>46006</v>
      </c>
      <c r="K1383" s="34" t="s">
        <v>348</v>
      </c>
      <c r="L1383" s="34" t="s">
        <v>298</v>
      </c>
      <c r="Q1383" s="35"/>
      <c r="R1383" s="35"/>
      <c r="S1383" s="35"/>
      <c r="T1383" s="35"/>
      <c r="U1383" s="35"/>
      <c r="V1383" s="35"/>
      <c r="W1383" s="35"/>
      <c r="X1383" s="35"/>
      <c r="Y1383" s="35"/>
      <c r="Z1383" s="35"/>
      <c r="AA1383" s="35"/>
      <c r="AB1383" s="36">
        <v>8174.52</v>
      </c>
      <c r="AC1383" s="35"/>
      <c r="AD1383" s="35"/>
      <c r="AE1383" s="35"/>
      <c r="AF1383" s="35"/>
      <c r="AG1383" s="35"/>
      <c r="AH1383" s="35"/>
    </row>
    <row r="1384" spans="1:34" x14ac:dyDescent="0.25">
      <c r="B1384" s="5">
        <v>766</v>
      </c>
      <c r="C1384" s="34">
        <v>45988</v>
      </c>
      <c r="D1384" s="5" t="s">
        <v>347</v>
      </c>
      <c r="E1384" s="36">
        <v>5070</v>
      </c>
      <c r="F1384" s="36">
        <f>E1384-G1384</f>
        <v>1690</v>
      </c>
      <c r="G1384" s="36">
        <v>3380</v>
      </c>
      <c r="H1384" s="34">
        <v>46010</v>
      </c>
      <c r="J1384" s="34">
        <v>46006</v>
      </c>
      <c r="K1384" s="34" t="s">
        <v>299</v>
      </c>
      <c r="L1384" s="34" t="s">
        <v>303</v>
      </c>
      <c r="M1384" s="34"/>
      <c r="Q1384" s="35"/>
      <c r="R1384" s="35"/>
      <c r="S1384" s="35"/>
      <c r="T1384" s="35"/>
      <c r="U1384" s="35"/>
      <c r="V1384" s="35"/>
      <c r="W1384" s="35"/>
      <c r="X1384" s="35"/>
      <c r="Y1384" s="35"/>
      <c r="Z1384" s="35"/>
      <c r="AA1384" s="35"/>
      <c r="AB1384" s="33">
        <v>5070</v>
      </c>
      <c r="AC1384" s="35"/>
      <c r="AD1384" s="35"/>
      <c r="AE1384" s="35"/>
      <c r="AF1384" s="35"/>
      <c r="AG1384" s="35"/>
      <c r="AH1384" s="35"/>
    </row>
    <row r="1385" spans="1:34" x14ac:dyDescent="0.25">
      <c r="B1385" s="5">
        <v>537</v>
      </c>
      <c r="C1385" s="34">
        <v>45908</v>
      </c>
      <c r="D1385" s="5" t="s">
        <v>347</v>
      </c>
      <c r="E1385" s="40">
        <v>36790</v>
      </c>
      <c r="F1385" s="36">
        <f>E1385-G1385</f>
        <v>0</v>
      </c>
      <c r="G1385" s="40">
        <v>36790</v>
      </c>
      <c r="H1385" s="34">
        <v>45960</v>
      </c>
      <c r="J1385" s="34">
        <v>46006</v>
      </c>
      <c r="K1385" s="34" t="s">
        <v>304</v>
      </c>
      <c r="L1385" s="5" t="s">
        <v>303</v>
      </c>
      <c r="Q1385" s="35"/>
      <c r="R1385" s="35"/>
      <c r="S1385" s="35"/>
      <c r="T1385" s="35"/>
      <c r="U1385" s="35"/>
      <c r="V1385" s="35"/>
      <c r="W1385" s="35"/>
      <c r="X1385" s="35"/>
      <c r="Y1385" s="35"/>
      <c r="Z1385" s="35"/>
      <c r="AA1385" s="40">
        <v>10890</v>
      </c>
      <c r="AB1385" s="38">
        <v>25900</v>
      </c>
      <c r="AC1385" s="37"/>
      <c r="AD1385" s="37"/>
      <c r="AE1385" s="37"/>
      <c r="AF1385" s="35"/>
      <c r="AG1385" s="37"/>
      <c r="AH1385" s="37"/>
    </row>
    <row r="1386" spans="1:34" x14ac:dyDescent="0.25">
      <c r="B1386" s="5">
        <v>730</v>
      </c>
      <c r="C1386" s="34">
        <v>45979</v>
      </c>
      <c r="D1386" s="5" t="s">
        <v>346</v>
      </c>
      <c r="E1386" s="36">
        <v>700</v>
      </c>
      <c r="F1386" s="36">
        <f>E1386-G1386</f>
        <v>700</v>
      </c>
      <c r="G1386" s="36">
        <v>0</v>
      </c>
      <c r="H1386" s="34">
        <v>45994</v>
      </c>
      <c r="J1386" s="34">
        <v>46006</v>
      </c>
      <c r="K1386" s="34" t="s">
        <v>345</v>
      </c>
      <c r="L1386" s="34" t="s">
        <v>298</v>
      </c>
      <c r="M1386" s="34"/>
      <c r="N1386" s="39" t="s">
        <v>344</v>
      </c>
      <c r="Q1386" s="35"/>
      <c r="R1386" s="35"/>
      <c r="S1386" s="35"/>
      <c r="T1386" s="35"/>
      <c r="U1386" s="35"/>
      <c r="V1386" s="35"/>
      <c r="W1386" s="35"/>
      <c r="X1386" s="35"/>
      <c r="Y1386" s="35"/>
      <c r="Z1386" s="35"/>
      <c r="AA1386" s="35"/>
      <c r="AB1386" s="33">
        <v>700</v>
      </c>
      <c r="AC1386" s="35"/>
      <c r="AD1386" s="35"/>
      <c r="AE1386" s="35"/>
      <c r="AF1386" s="35"/>
      <c r="AG1386" s="35"/>
      <c r="AH1386" s="35"/>
    </row>
    <row r="1387" spans="1:34" x14ac:dyDescent="0.25">
      <c r="B1387" s="5">
        <v>550</v>
      </c>
      <c r="C1387" s="34">
        <v>45917</v>
      </c>
      <c r="D1387" s="5" t="s">
        <v>343</v>
      </c>
      <c r="E1387" s="33">
        <v>62000</v>
      </c>
      <c r="F1387" s="33">
        <f>E1387-G1387</f>
        <v>50000</v>
      </c>
      <c r="G1387" s="33">
        <v>12000</v>
      </c>
      <c r="H1387" s="34">
        <v>46011</v>
      </c>
      <c r="J1387" s="34">
        <v>46009</v>
      </c>
      <c r="K1387" s="34" t="s">
        <v>342</v>
      </c>
      <c r="L1387" s="34" t="s">
        <v>298</v>
      </c>
      <c r="Q1387" s="35"/>
      <c r="R1387" s="35"/>
      <c r="S1387" s="35"/>
      <c r="T1387" s="35"/>
      <c r="U1387" s="35"/>
      <c r="V1387" s="35"/>
      <c r="W1387" s="35"/>
      <c r="X1387" s="35"/>
      <c r="Y1387" s="35"/>
      <c r="Z1387" s="35"/>
      <c r="AA1387" s="38">
        <v>25000</v>
      </c>
      <c r="AB1387" s="38">
        <v>25000</v>
      </c>
      <c r="AC1387" s="37"/>
      <c r="AD1387" s="37"/>
      <c r="AE1387" s="37"/>
      <c r="AF1387" s="35"/>
      <c r="AG1387" s="37"/>
      <c r="AH1387" s="37"/>
    </row>
    <row r="1388" spans="1:34" x14ac:dyDescent="0.25">
      <c r="A1388" s="5">
        <v>26</v>
      </c>
      <c r="B1388" s="5">
        <v>789</v>
      </c>
      <c r="C1388" s="34">
        <v>45996</v>
      </c>
      <c r="D1388" s="5" t="s">
        <v>341</v>
      </c>
      <c r="E1388" s="33">
        <v>83.27</v>
      </c>
      <c r="F1388" s="33">
        <f>E1388-G1388</f>
        <v>83.27</v>
      </c>
      <c r="G1388" s="33">
        <v>0</v>
      </c>
      <c r="H1388" s="34">
        <v>46003</v>
      </c>
      <c r="J1388" s="34">
        <v>46009</v>
      </c>
      <c r="K1388" s="34" t="s">
        <v>330</v>
      </c>
      <c r="L1388" s="34" t="s">
        <v>298</v>
      </c>
      <c r="Q1388" s="35"/>
      <c r="R1388" s="35"/>
      <c r="S1388" s="35"/>
      <c r="T1388" s="35"/>
      <c r="U1388" s="35"/>
      <c r="V1388" s="35"/>
      <c r="W1388" s="35"/>
      <c r="X1388" s="35"/>
      <c r="Y1388" s="35"/>
      <c r="Z1388" s="35"/>
      <c r="AA1388" s="33">
        <v>83.27</v>
      </c>
      <c r="AB1388" s="35"/>
      <c r="AC1388" s="35"/>
      <c r="AD1388" s="35"/>
      <c r="AE1388" s="35"/>
      <c r="AF1388" s="35"/>
      <c r="AG1388" s="35"/>
      <c r="AH1388" s="35"/>
    </row>
    <row r="1389" spans="1:34" x14ac:dyDescent="0.25">
      <c r="B1389" s="5">
        <v>780</v>
      </c>
      <c r="C1389" s="34">
        <v>45993</v>
      </c>
      <c r="D1389" s="5" t="s">
        <v>340</v>
      </c>
      <c r="E1389" s="33">
        <v>1360</v>
      </c>
      <c r="F1389" s="33">
        <f>E1389-G1389</f>
        <v>1360</v>
      </c>
      <c r="G1389" s="33">
        <v>0</v>
      </c>
      <c r="H1389" s="34">
        <v>46013</v>
      </c>
      <c r="J1389" s="34">
        <v>46009</v>
      </c>
      <c r="K1389" s="34" t="s">
        <v>339</v>
      </c>
      <c r="L1389" s="34" t="s">
        <v>298</v>
      </c>
      <c r="Q1389" s="35"/>
      <c r="R1389" s="35"/>
      <c r="S1389" s="35"/>
      <c r="T1389" s="35"/>
      <c r="U1389" s="35"/>
      <c r="V1389" s="35"/>
      <c r="W1389" s="35"/>
      <c r="X1389" s="35"/>
      <c r="Y1389" s="35"/>
      <c r="Z1389" s="35"/>
      <c r="AA1389" s="33">
        <v>1360</v>
      </c>
      <c r="AB1389" s="35"/>
      <c r="AC1389" s="35"/>
      <c r="AD1389" s="35"/>
      <c r="AE1389" s="35"/>
      <c r="AF1389" s="35"/>
      <c r="AG1389" s="35"/>
      <c r="AH1389" s="35"/>
    </row>
    <row r="1390" spans="1:34" x14ac:dyDescent="0.25">
      <c r="A1390" s="5">
        <v>26</v>
      </c>
      <c r="B1390" s="5">
        <v>815</v>
      </c>
      <c r="C1390" s="34">
        <v>46008</v>
      </c>
      <c r="D1390" s="5" t="s">
        <v>338</v>
      </c>
      <c r="E1390" s="36">
        <v>1500</v>
      </c>
      <c r="F1390" s="36">
        <f>E1390-G1390</f>
        <v>1500</v>
      </c>
      <c r="G1390" s="36">
        <v>0</v>
      </c>
      <c r="H1390" s="34">
        <v>46014</v>
      </c>
      <c r="J1390" s="34">
        <v>46009</v>
      </c>
      <c r="K1390" s="34" t="s">
        <v>330</v>
      </c>
      <c r="L1390" s="34" t="s">
        <v>309</v>
      </c>
      <c r="M1390" s="34" t="s">
        <v>308</v>
      </c>
      <c r="Q1390" s="37"/>
      <c r="R1390" s="37"/>
      <c r="S1390" s="37"/>
      <c r="T1390" s="37"/>
      <c r="U1390" s="37"/>
      <c r="V1390" s="37"/>
      <c r="W1390" s="37"/>
      <c r="X1390" s="37"/>
      <c r="Y1390" s="37"/>
      <c r="Z1390" s="37"/>
      <c r="AA1390" s="38">
        <v>1500</v>
      </c>
      <c r="AB1390" s="37"/>
      <c r="AC1390" s="37"/>
      <c r="AD1390" s="37"/>
      <c r="AE1390" s="37"/>
      <c r="AF1390" s="37"/>
      <c r="AG1390" s="37"/>
      <c r="AH1390" s="37"/>
    </row>
    <row r="1391" spans="1:34" x14ac:dyDescent="0.25">
      <c r="A1391" s="5">
        <v>64</v>
      </c>
      <c r="B1391" s="5">
        <v>799</v>
      </c>
      <c r="C1391" s="34">
        <v>46001</v>
      </c>
      <c r="D1391" s="5" t="s">
        <v>268</v>
      </c>
      <c r="E1391" s="33">
        <v>293.60000000000002</v>
      </c>
      <c r="F1391" s="33">
        <f>E1391-G1391</f>
        <v>293.60000000000002</v>
      </c>
      <c r="G1391" s="33">
        <v>0</v>
      </c>
      <c r="H1391" s="34">
        <v>46008</v>
      </c>
      <c r="I1391" s="34">
        <v>46006</v>
      </c>
      <c r="J1391" s="34">
        <v>46008</v>
      </c>
      <c r="K1391" s="34" t="s">
        <v>337</v>
      </c>
      <c r="L1391" s="34" t="s">
        <v>298</v>
      </c>
      <c r="Q1391" s="37"/>
      <c r="R1391" s="37"/>
      <c r="S1391" s="37"/>
      <c r="T1391" s="37"/>
      <c r="U1391" s="37"/>
      <c r="V1391" s="37"/>
      <c r="W1391" s="37"/>
      <c r="X1391" s="37"/>
      <c r="Y1391" s="37"/>
      <c r="Z1391" s="37"/>
      <c r="AA1391" s="37"/>
      <c r="AB1391" s="33">
        <v>293.60000000000002</v>
      </c>
      <c r="AC1391" s="37"/>
      <c r="AD1391" s="37"/>
      <c r="AE1391" s="37"/>
      <c r="AF1391" s="37"/>
      <c r="AG1391" s="37"/>
      <c r="AH1391" s="37"/>
    </row>
    <row r="1392" spans="1:34" x14ac:dyDescent="0.25">
      <c r="A1392" s="5">
        <v>26</v>
      </c>
      <c r="B1392" s="5">
        <v>810</v>
      </c>
      <c r="C1392" s="34">
        <v>46006</v>
      </c>
      <c r="D1392" s="5" t="s">
        <v>336</v>
      </c>
      <c r="E1392" s="36">
        <v>301.87</v>
      </c>
      <c r="F1392" s="36">
        <f>E1392-G1392</f>
        <v>301.87</v>
      </c>
      <c r="G1392" s="36">
        <v>0</v>
      </c>
      <c r="H1392" s="34">
        <v>46010</v>
      </c>
      <c r="I1392" s="34">
        <v>46006</v>
      </c>
      <c r="J1392" s="34">
        <v>46007</v>
      </c>
      <c r="K1392" s="34" t="s">
        <v>301</v>
      </c>
      <c r="L1392" s="34" t="s">
        <v>309</v>
      </c>
      <c r="M1392" s="34" t="s">
        <v>308</v>
      </c>
      <c r="Q1392" s="37"/>
      <c r="R1392" s="37"/>
      <c r="S1392" s="37"/>
      <c r="T1392" s="37"/>
      <c r="U1392" s="37"/>
      <c r="V1392" s="37"/>
      <c r="W1392" s="37"/>
      <c r="X1392" s="37"/>
      <c r="Y1392" s="37"/>
      <c r="Z1392" s="37"/>
      <c r="AA1392" s="37"/>
      <c r="AB1392" s="38">
        <v>301.87</v>
      </c>
      <c r="AC1392" s="37"/>
      <c r="AD1392" s="37"/>
      <c r="AE1392" s="37"/>
      <c r="AF1392" s="37"/>
      <c r="AG1392" s="37"/>
      <c r="AH1392" s="37"/>
    </row>
    <row r="1393" spans="1:35" x14ac:dyDescent="0.25">
      <c r="A1393" s="5">
        <v>84</v>
      </c>
      <c r="B1393" s="5">
        <v>803</v>
      </c>
      <c r="C1393" s="34">
        <v>46003</v>
      </c>
      <c r="D1393" s="5" t="s">
        <v>335</v>
      </c>
      <c r="E1393" s="36">
        <v>710.26</v>
      </c>
      <c r="F1393" s="36">
        <f>E1393-G1393</f>
        <v>710.26</v>
      </c>
      <c r="G1393" s="36">
        <v>0</v>
      </c>
      <c r="H1393" s="34">
        <v>46013</v>
      </c>
      <c r="J1393" s="34">
        <v>46007</v>
      </c>
      <c r="K1393" s="34" t="s">
        <v>301</v>
      </c>
      <c r="L1393" s="34" t="s">
        <v>298</v>
      </c>
      <c r="Q1393" s="37"/>
      <c r="R1393" s="37"/>
      <c r="S1393" s="37"/>
      <c r="T1393" s="37"/>
      <c r="U1393" s="37"/>
      <c r="V1393" s="37"/>
      <c r="W1393" s="37"/>
      <c r="X1393" s="37"/>
      <c r="Y1393" s="37"/>
      <c r="Z1393" s="37"/>
      <c r="AA1393" s="33">
        <v>710.26</v>
      </c>
      <c r="AB1393" s="37"/>
      <c r="AC1393" s="37"/>
      <c r="AD1393" s="37"/>
      <c r="AE1393" s="37"/>
      <c r="AF1393" s="37"/>
      <c r="AG1393" s="37"/>
      <c r="AH1393" s="37"/>
    </row>
    <row r="1394" spans="1:35" x14ac:dyDescent="0.25">
      <c r="A1394" s="5">
        <v>64</v>
      </c>
      <c r="B1394" s="5">
        <v>804</v>
      </c>
      <c r="C1394" s="34">
        <v>46003</v>
      </c>
      <c r="D1394" s="5" t="s">
        <v>316</v>
      </c>
      <c r="E1394" s="36">
        <v>320</v>
      </c>
      <c r="F1394" s="36">
        <f>E1394-G1394</f>
        <v>320</v>
      </c>
      <c r="G1394" s="36">
        <v>0</v>
      </c>
      <c r="H1394" s="34">
        <v>46006</v>
      </c>
      <c r="J1394" s="34">
        <v>46007</v>
      </c>
      <c r="K1394" s="34" t="s">
        <v>334</v>
      </c>
      <c r="L1394" s="34" t="s">
        <v>309</v>
      </c>
      <c r="M1394" s="34" t="s">
        <v>308</v>
      </c>
      <c r="Q1394" s="37"/>
      <c r="R1394" s="37"/>
      <c r="S1394" s="37"/>
      <c r="T1394" s="37"/>
      <c r="U1394" s="37"/>
      <c r="V1394" s="37"/>
      <c r="W1394" s="37"/>
      <c r="X1394" s="37"/>
      <c r="Y1394" s="37"/>
      <c r="Z1394" s="37"/>
      <c r="AA1394" s="33">
        <v>320</v>
      </c>
      <c r="AB1394" s="37"/>
      <c r="AC1394" s="37"/>
      <c r="AD1394" s="37"/>
      <c r="AE1394" s="37"/>
      <c r="AF1394" s="37"/>
      <c r="AG1394" s="37"/>
      <c r="AH1394" s="37"/>
    </row>
    <row r="1395" spans="1:35" x14ac:dyDescent="0.25">
      <c r="B1395" s="5">
        <v>782</v>
      </c>
      <c r="C1395" s="34">
        <v>45993</v>
      </c>
      <c r="D1395" s="5" t="s">
        <v>307</v>
      </c>
      <c r="E1395" s="36">
        <v>56.4</v>
      </c>
      <c r="F1395" s="36">
        <f>E1395-G1395</f>
        <v>56.4</v>
      </c>
      <c r="G1395" s="36">
        <v>0</v>
      </c>
      <c r="H1395" s="34">
        <v>45995</v>
      </c>
      <c r="I1395" s="34"/>
      <c r="J1395" s="34">
        <v>46007</v>
      </c>
      <c r="K1395" s="34" t="s">
        <v>304</v>
      </c>
      <c r="L1395" s="34" t="s">
        <v>298</v>
      </c>
      <c r="Q1395" s="35"/>
      <c r="R1395" s="35"/>
      <c r="S1395" s="35"/>
      <c r="T1395" s="35"/>
      <c r="U1395" s="35"/>
      <c r="V1395" s="35"/>
      <c r="W1395" s="35"/>
      <c r="X1395" s="35"/>
      <c r="Y1395" s="35"/>
      <c r="Z1395" s="35"/>
      <c r="AA1395" s="35"/>
      <c r="AB1395" s="35"/>
      <c r="AC1395" s="33">
        <v>56.4</v>
      </c>
      <c r="AD1395" s="35"/>
      <c r="AE1395" s="35"/>
      <c r="AF1395" s="35"/>
      <c r="AG1395" s="35"/>
      <c r="AH1395" s="35"/>
    </row>
    <row r="1396" spans="1:35" x14ac:dyDescent="0.25">
      <c r="B1396" s="5">
        <v>642</v>
      </c>
      <c r="C1396" s="34">
        <v>45950</v>
      </c>
      <c r="D1396" s="5" t="s">
        <v>333</v>
      </c>
      <c r="E1396" s="36">
        <v>15100</v>
      </c>
      <c r="F1396" s="36">
        <f>E1396-G1396</f>
        <v>15100</v>
      </c>
      <c r="G1396" s="36">
        <v>0</v>
      </c>
      <c r="H1396" s="34">
        <v>46013</v>
      </c>
      <c r="I1396" s="34"/>
      <c r="J1396" s="34">
        <v>46008</v>
      </c>
      <c r="K1396" s="34" t="s">
        <v>330</v>
      </c>
      <c r="L1396" s="34" t="s">
        <v>309</v>
      </c>
      <c r="M1396" s="34" t="s">
        <v>308</v>
      </c>
      <c r="Q1396" s="35"/>
      <c r="R1396" s="35"/>
      <c r="S1396" s="35"/>
      <c r="T1396" s="35"/>
      <c r="U1396" s="35"/>
      <c r="V1396" s="35"/>
      <c r="W1396" s="35"/>
      <c r="X1396" s="35"/>
      <c r="Y1396" s="35"/>
      <c r="Z1396" s="35"/>
      <c r="AA1396" s="33">
        <v>15100</v>
      </c>
      <c r="AB1396" s="35"/>
      <c r="AC1396" s="35"/>
      <c r="AD1396" s="35"/>
      <c r="AE1396" s="35"/>
      <c r="AF1396" s="35"/>
      <c r="AG1396" s="35"/>
      <c r="AH1396" s="35"/>
    </row>
    <row r="1397" spans="1:35" x14ac:dyDescent="0.25">
      <c r="A1397" s="5">
        <v>59</v>
      </c>
      <c r="B1397" s="5">
        <v>792</v>
      </c>
      <c r="C1397" s="34">
        <v>46000</v>
      </c>
      <c r="D1397" s="5" t="s">
        <v>332</v>
      </c>
      <c r="E1397" s="36">
        <v>905.5</v>
      </c>
      <c r="F1397" s="36">
        <f>E1397-G1397</f>
        <v>905.5</v>
      </c>
      <c r="G1397" s="36">
        <v>0</v>
      </c>
      <c r="H1397" s="34">
        <v>46010</v>
      </c>
      <c r="J1397" s="34">
        <v>46013</v>
      </c>
      <c r="K1397" s="34" t="s">
        <v>310</v>
      </c>
      <c r="L1397" s="34" t="s">
        <v>298</v>
      </c>
      <c r="Q1397" s="35"/>
      <c r="R1397" s="35"/>
      <c r="S1397" s="35"/>
      <c r="T1397" s="35"/>
      <c r="U1397" s="35"/>
      <c r="V1397" s="35"/>
      <c r="W1397" s="35"/>
      <c r="X1397" s="35"/>
      <c r="Y1397" s="35"/>
      <c r="Z1397" s="35"/>
      <c r="AA1397" s="33">
        <v>905.5</v>
      </c>
      <c r="AB1397" s="35"/>
      <c r="AC1397" s="35"/>
      <c r="AD1397" s="35"/>
      <c r="AE1397" s="35"/>
      <c r="AF1397" s="35"/>
      <c r="AG1397" s="35"/>
      <c r="AH1397" s="35"/>
    </row>
    <row r="1398" spans="1:35" x14ac:dyDescent="0.25">
      <c r="A1398" s="5">
        <v>64</v>
      </c>
      <c r="B1398" s="5">
        <v>801</v>
      </c>
      <c r="C1398" s="34">
        <v>46002</v>
      </c>
      <c r="D1398" s="5" t="s">
        <v>331</v>
      </c>
      <c r="E1398" s="36">
        <v>452.43</v>
      </c>
      <c r="F1398" s="36">
        <f>E1398-G1398</f>
        <v>452.43</v>
      </c>
      <c r="G1398" s="36">
        <v>0</v>
      </c>
      <c r="H1398" s="34">
        <v>46009</v>
      </c>
      <c r="J1398" s="34">
        <v>46008</v>
      </c>
      <c r="K1398" s="34" t="s">
        <v>330</v>
      </c>
      <c r="L1398" s="5" t="s">
        <v>298</v>
      </c>
      <c r="Q1398" s="37"/>
      <c r="R1398" s="37"/>
      <c r="S1398" s="37"/>
      <c r="T1398" s="37"/>
      <c r="U1398" s="37"/>
      <c r="V1398" s="37"/>
      <c r="W1398" s="37"/>
      <c r="X1398" s="37"/>
      <c r="Y1398" s="37"/>
      <c r="Z1398" s="37"/>
      <c r="AA1398" s="33">
        <v>452.43</v>
      </c>
      <c r="AB1398" s="37"/>
      <c r="AC1398" s="37"/>
      <c r="AD1398" s="37"/>
      <c r="AE1398" s="37"/>
      <c r="AF1398" s="37"/>
      <c r="AG1398" s="37"/>
      <c r="AH1398" s="37"/>
    </row>
    <row r="1399" spans="1:35" x14ac:dyDescent="0.25">
      <c r="A1399" s="5">
        <v>59</v>
      </c>
      <c r="B1399" s="5">
        <v>811</v>
      </c>
      <c r="C1399" s="34">
        <v>46006</v>
      </c>
      <c r="D1399" s="5" t="s">
        <v>23</v>
      </c>
      <c r="E1399" s="36">
        <v>122.75</v>
      </c>
      <c r="F1399" s="36">
        <f>E1399-G1399</f>
        <v>122.75</v>
      </c>
      <c r="G1399" s="36">
        <v>0</v>
      </c>
      <c r="H1399" s="34">
        <v>46009</v>
      </c>
      <c r="I1399" s="34">
        <v>46007</v>
      </c>
      <c r="J1399" s="34">
        <v>46013</v>
      </c>
      <c r="K1399" s="34" t="s">
        <v>310</v>
      </c>
      <c r="L1399" s="34" t="s">
        <v>309</v>
      </c>
      <c r="M1399" s="34" t="s">
        <v>308</v>
      </c>
      <c r="Q1399" s="37"/>
      <c r="R1399" s="37"/>
      <c r="S1399" s="37"/>
      <c r="T1399" s="37"/>
      <c r="U1399" s="37"/>
      <c r="V1399" s="37"/>
      <c r="W1399" s="37"/>
      <c r="X1399" s="37"/>
      <c r="Y1399" s="37"/>
      <c r="Z1399" s="37"/>
      <c r="AA1399" s="38">
        <v>122.75</v>
      </c>
      <c r="AB1399" s="37"/>
      <c r="AC1399" s="37"/>
      <c r="AD1399" s="37"/>
      <c r="AE1399" s="37"/>
      <c r="AF1399" s="37"/>
      <c r="AG1399" s="37"/>
      <c r="AH1399" s="37"/>
    </row>
    <row r="1400" spans="1:35" x14ac:dyDescent="0.25">
      <c r="A1400" s="5">
        <v>26</v>
      </c>
      <c r="B1400" s="5">
        <v>788</v>
      </c>
      <c r="C1400" s="34">
        <v>45996</v>
      </c>
      <c r="D1400" s="5" t="s">
        <v>300</v>
      </c>
      <c r="E1400" s="33">
        <v>72</v>
      </c>
      <c r="F1400" s="33">
        <f>E1400-G1400</f>
        <v>72</v>
      </c>
      <c r="G1400" s="33">
        <v>0</v>
      </c>
      <c r="H1400" s="34">
        <v>46006</v>
      </c>
      <c r="J1400" s="34">
        <v>46013</v>
      </c>
      <c r="K1400" s="5" t="s">
        <v>313</v>
      </c>
      <c r="L1400" s="5" t="s">
        <v>298</v>
      </c>
      <c r="Q1400" s="35"/>
      <c r="R1400" s="35"/>
      <c r="S1400" s="35"/>
      <c r="T1400" s="35"/>
      <c r="U1400" s="35"/>
      <c r="V1400" s="35"/>
      <c r="W1400" s="35"/>
      <c r="X1400" s="35"/>
      <c r="Y1400" s="35"/>
      <c r="Z1400" s="35"/>
      <c r="AA1400" s="35"/>
      <c r="AB1400" s="33">
        <v>72</v>
      </c>
      <c r="AC1400" s="35"/>
      <c r="AD1400" s="35"/>
      <c r="AE1400" s="35"/>
      <c r="AF1400" s="35"/>
      <c r="AG1400" s="35"/>
      <c r="AH1400" s="35"/>
    </row>
    <row r="1401" spans="1:35" x14ac:dyDescent="0.25">
      <c r="A1401" s="5">
        <v>26</v>
      </c>
      <c r="B1401" s="5">
        <v>802</v>
      </c>
      <c r="C1401" s="34">
        <v>46002</v>
      </c>
      <c r="D1401" s="5" t="s">
        <v>300</v>
      </c>
      <c r="E1401" s="33">
        <v>273</v>
      </c>
      <c r="F1401" s="33">
        <f>E1401-G1401</f>
        <v>273</v>
      </c>
      <c r="G1401" s="33">
        <v>0</v>
      </c>
      <c r="H1401" s="34">
        <v>46010</v>
      </c>
      <c r="I1401" s="34"/>
      <c r="J1401" s="34">
        <v>46013</v>
      </c>
      <c r="K1401" s="34" t="s">
        <v>329</v>
      </c>
      <c r="L1401" s="34" t="s">
        <v>298</v>
      </c>
      <c r="M1401" s="34"/>
      <c r="Q1401" s="37"/>
      <c r="R1401" s="37"/>
      <c r="S1401" s="37"/>
      <c r="T1401" s="37"/>
      <c r="U1401" s="37"/>
      <c r="V1401" s="37"/>
      <c r="W1401" s="37"/>
      <c r="X1401" s="37"/>
      <c r="Y1401" s="37"/>
      <c r="Z1401" s="37"/>
      <c r="AA1401" s="37"/>
      <c r="AB1401" s="33">
        <v>273</v>
      </c>
      <c r="AC1401" s="37"/>
      <c r="AD1401" s="37"/>
      <c r="AE1401" s="37"/>
      <c r="AF1401" s="37"/>
      <c r="AG1401" s="37"/>
      <c r="AH1401" s="37"/>
    </row>
    <row r="1402" spans="1:35" x14ac:dyDescent="0.25">
      <c r="B1402" s="5">
        <v>701</v>
      </c>
      <c r="C1402" s="34">
        <v>45965</v>
      </c>
      <c r="D1402" s="5" t="s">
        <v>23</v>
      </c>
      <c r="E1402" s="36">
        <v>1165.3399999999999</v>
      </c>
      <c r="F1402" s="36">
        <f>E1402-G1402</f>
        <v>213.7399999999999</v>
      </c>
      <c r="G1402" s="36">
        <v>951.6</v>
      </c>
      <c r="H1402" s="34">
        <v>45971</v>
      </c>
      <c r="I1402" s="34"/>
      <c r="J1402" s="34">
        <v>46013</v>
      </c>
      <c r="K1402" s="34" t="s">
        <v>306</v>
      </c>
      <c r="L1402" s="34" t="s">
        <v>298</v>
      </c>
      <c r="Q1402" s="35"/>
      <c r="R1402" s="35"/>
      <c r="S1402" s="35"/>
      <c r="T1402" s="35"/>
      <c r="U1402" s="35"/>
      <c r="V1402" s="35"/>
      <c r="W1402" s="35"/>
      <c r="X1402" s="35"/>
      <c r="Y1402" s="35"/>
      <c r="Z1402" s="36">
        <v>951.6</v>
      </c>
      <c r="AA1402" s="40">
        <v>213.74</v>
      </c>
      <c r="AB1402" s="35"/>
      <c r="AC1402" s="35"/>
      <c r="AD1402" s="35"/>
      <c r="AE1402" s="35"/>
      <c r="AF1402" s="35"/>
      <c r="AG1402" s="35"/>
      <c r="AH1402" s="35"/>
    </row>
    <row r="1403" spans="1:35" x14ac:dyDescent="0.25">
      <c r="B1403" s="5">
        <v>723</v>
      </c>
      <c r="C1403" s="34">
        <v>45978</v>
      </c>
      <c r="D1403" s="5" t="s">
        <v>305</v>
      </c>
      <c r="E1403" s="36">
        <v>423.88</v>
      </c>
      <c r="F1403" s="36">
        <f>E1403-G1403</f>
        <v>423.88</v>
      </c>
      <c r="G1403" s="36">
        <v>0</v>
      </c>
      <c r="H1403" s="34">
        <v>46003</v>
      </c>
      <c r="I1403" s="34"/>
      <c r="J1403" s="34">
        <v>46013</v>
      </c>
      <c r="K1403" s="34" t="s">
        <v>306</v>
      </c>
      <c r="L1403" s="34" t="s">
        <v>303</v>
      </c>
      <c r="Q1403" s="41"/>
      <c r="R1403" s="43"/>
      <c r="S1403" s="42"/>
      <c r="T1403" s="35"/>
      <c r="U1403" s="35"/>
      <c r="V1403" s="35"/>
      <c r="W1403" s="35"/>
      <c r="X1403" s="35"/>
      <c r="Y1403" s="35"/>
      <c r="Z1403" s="35"/>
      <c r="AA1403" s="33">
        <v>423.88</v>
      </c>
      <c r="AB1403" s="41"/>
      <c r="AC1403" s="41"/>
      <c r="AD1403" s="41"/>
      <c r="AE1403" s="41"/>
      <c r="AF1403" s="41"/>
      <c r="AG1403" s="41"/>
      <c r="AH1403" s="41"/>
    </row>
    <row r="1404" spans="1:35" x14ac:dyDescent="0.25">
      <c r="B1404" s="5">
        <v>762</v>
      </c>
      <c r="C1404" s="34">
        <v>45988</v>
      </c>
      <c r="D1404" s="5" t="s">
        <v>328</v>
      </c>
      <c r="E1404" s="33">
        <v>86.28</v>
      </c>
      <c r="F1404" s="33">
        <f>E1404-G1404</f>
        <v>86.28</v>
      </c>
      <c r="G1404" s="33">
        <v>0</v>
      </c>
      <c r="H1404" s="34">
        <v>46010</v>
      </c>
      <c r="J1404" s="34">
        <v>46013</v>
      </c>
      <c r="K1404" s="34" t="s">
        <v>301</v>
      </c>
      <c r="L1404" s="34" t="s">
        <v>298</v>
      </c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  <c r="AA1404" s="33">
        <v>86.28</v>
      </c>
      <c r="AB1404" s="35"/>
      <c r="AC1404" s="35"/>
      <c r="AD1404" s="35"/>
      <c r="AE1404" s="35"/>
      <c r="AF1404" s="35"/>
      <c r="AG1404" s="35"/>
      <c r="AH1404" s="35"/>
    </row>
    <row r="1405" spans="1:35" x14ac:dyDescent="0.25">
      <c r="A1405" s="5">
        <v>59</v>
      </c>
      <c r="B1405" s="5">
        <v>818</v>
      </c>
      <c r="C1405" s="34">
        <v>46009</v>
      </c>
      <c r="D1405" s="5" t="s">
        <v>23</v>
      </c>
      <c r="E1405" s="33">
        <v>261.89999999999998</v>
      </c>
      <c r="F1405" s="33">
        <f>E1405-G1405</f>
        <v>261.89999999999998</v>
      </c>
      <c r="G1405" s="33">
        <v>0</v>
      </c>
      <c r="H1405" s="34">
        <v>46013</v>
      </c>
      <c r="J1405" s="34">
        <v>46013</v>
      </c>
      <c r="K1405" s="34" t="s">
        <v>310</v>
      </c>
      <c r="L1405" s="34" t="s">
        <v>298</v>
      </c>
      <c r="Q1405" s="37"/>
      <c r="R1405" s="37"/>
      <c r="S1405" s="37"/>
      <c r="T1405" s="37"/>
      <c r="U1405" s="37"/>
      <c r="V1405" s="37"/>
      <c r="W1405" s="37"/>
      <c r="X1405" s="37"/>
      <c r="Y1405" s="37"/>
      <c r="Z1405" s="37"/>
      <c r="AA1405" s="33">
        <v>261.89999999999998</v>
      </c>
      <c r="AB1405" s="37"/>
      <c r="AC1405" s="37"/>
      <c r="AD1405" s="37"/>
      <c r="AE1405" s="37"/>
      <c r="AF1405" s="37"/>
      <c r="AG1405" s="37"/>
      <c r="AH1405" s="37"/>
    </row>
    <row r="1406" spans="1:35" x14ac:dyDescent="0.25">
      <c r="A1406" s="5">
        <v>84</v>
      </c>
      <c r="B1406" s="5">
        <v>668</v>
      </c>
      <c r="C1406" s="34">
        <v>45954</v>
      </c>
      <c r="D1406" s="5" t="s">
        <v>327</v>
      </c>
      <c r="E1406" s="33">
        <v>300</v>
      </c>
      <c r="F1406" s="33">
        <f>E1406-G1406</f>
        <v>300</v>
      </c>
      <c r="G1406" s="33">
        <v>0</v>
      </c>
      <c r="H1406" s="34">
        <v>46010</v>
      </c>
      <c r="J1406" s="34">
        <v>46014</v>
      </c>
      <c r="K1406" s="34" t="s">
        <v>326</v>
      </c>
      <c r="L1406" s="34" t="s">
        <v>298</v>
      </c>
      <c r="Q1406" s="35"/>
      <c r="R1406" s="35"/>
      <c r="S1406" s="35"/>
      <c r="T1406" s="35"/>
      <c r="U1406" s="35"/>
      <c r="V1406" s="35"/>
      <c r="W1406" s="35"/>
      <c r="X1406" s="35"/>
      <c r="Y1406" s="35"/>
      <c r="Z1406" s="35"/>
      <c r="AA1406" s="33">
        <v>300</v>
      </c>
      <c r="AB1406" s="35"/>
      <c r="AC1406" s="35"/>
      <c r="AD1406" s="35"/>
      <c r="AE1406" s="35"/>
      <c r="AF1406" s="35"/>
      <c r="AG1406" s="35"/>
      <c r="AH1406" s="35"/>
      <c r="AI1406" s="34"/>
    </row>
    <row r="1407" spans="1:35" x14ac:dyDescent="0.25">
      <c r="A1407" s="5">
        <v>84</v>
      </c>
      <c r="B1407" s="5">
        <v>831</v>
      </c>
      <c r="C1407" s="34">
        <v>46014</v>
      </c>
      <c r="D1407" s="5" t="s">
        <v>325</v>
      </c>
      <c r="E1407" s="33">
        <v>360</v>
      </c>
      <c r="F1407" s="33">
        <f>E1407-'ORDINI EVASI (3)'!G1407</f>
        <v>360</v>
      </c>
      <c r="G1407" s="33">
        <v>0</v>
      </c>
      <c r="H1407" s="34">
        <v>46029</v>
      </c>
      <c r="J1407" s="34">
        <v>46014</v>
      </c>
      <c r="K1407" s="34" t="s">
        <v>324</v>
      </c>
      <c r="L1407" s="34" t="s">
        <v>298</v>
      </c>
      <c r="Q1407" s="37"/>
      <c r="R1407" s="37"/>
      <c r="S1407" s="37"/>
      <c r="T1407" s="37"/>
      <c r="U1407" s="37"/>
      <c r="V1407" s="37"/>
      <c r="W1407" s="37"/>
      <c r="X1407" s="37"/>
      <c r="Y1407" s="37"/>
      <c r="Z1407" s="37"/>
      <c r="AA1407" s="38">
        <v>360</v>
      </c>
      <c r="AB1407" s="35"/>
      <c r="AC1407" s="37"/>
      <c r="AD1407" s="37"/>
      <c r="AE1407" s="37"/>
      <c r="AF1407" s="37"/>
      <c r="AG1407" s="37"/>
      <c r="AH1407" s="37"/>
    </row>
    <row r="1408" spans="1:35" x14ac:dyDescent="0.25">
      <c r="A1408" s="5">
        <v>26</v>
      </c>
      <c r="B1408" s="5">
        <v>807</v>
      </c>
      <c r="C1408" s="34">
        <v>46003</v>
      </c>
      <c r="D1408" s="5" t="s">
        <v>323</v>
      </c>
      <c r="E1408" s="36">
        <v>600</v>
      </c>
      <c r="F1408" s="36">
        <f>E1408-G1408</f>
        <v>600</v>
      </c>
      <c r="G1408" s="36">
        <v>0</v>
      </c>
      <c r="H1408" s="34">
        <v>46007</v>
      </c>
      <c r="I1408" s="34">
        <v>46003</v>
      </c>
      <c r="J1408" s="34">
        <v>46003</v>
      </c>
      <c r="K1408" s="34" t="s">
        <v>322</v>
      </c>
      <c r="L1408" s="34" t="s">
        <v>309</v>
      </c>
      <c r="M1408" s="34" t="s">
        <v>308</v>
      </c>
      <c r="Q1408" s="37"/>
      <c r="R1408" s="37"/>
      <c r="S1408" s="37"/>
      <c r="T1408" s="37"/>
      <c r="U1408" s="37"/>
      <c r="V1408" s="37"/>
      <c r="W1408" s="37"/>
      <c r="X1408" s="37"/>
      <c r="Y1408" s="37"/>
      <c r="Z1408" s="37"/>
      <c r="AA1408" s="36">
        <v>600</v>
      </c>
      <c r="AB1408" s="35"/>
      <c r="AC1408" s="35"/>
      <c r="AD1408" s="35"/>
      <c r="AE1408" s="35"/>
      <c r="AF1408" s="35"/>
      <c r="AG1408" s="35"/>
      <c r="AH1408" s="35"/>
    </row>
    <row r="1409" spans="1:34" x14ac:dyDescent="0.25">
      <c r="B1409" s="5">
        <v>681</v>
      </c>
      <c r="C1409" s="34">
        <v>45958</v>
      </c>
      <c r="D1409" s="5" t="s">
        <v>321</v>
      </c>
      <c r="E1409" s="36">
        <v>4736.1499999999996</v>
      </c>
      <c r="F1409" s="36">
        <f>E1409-G1409</f>
        <v>596.75999999999931</v>
      </c>
      <c r="G1409" s="36">
        <v>4139.3900000000003</v>
      </c>
      <c r="H1409" s="34">
        <v>45966</v>
      </c>
      <c r="I1409" s="34"/>
      <c r="J1409" s="34">
        <v>46029</v>
      </c>
      <c r="K1409" s="34" t="s">
        <v>304</v>
      </c>
      <c r="L1409" s="34" t="s">
        <v>303</v>
      </c>
      <c r="M1409" s="34" t="s">
        <v>308</v>
      </c>
      <c r="N1409" s="39" t="s">
        <v>320</v>
      </c>
      <c r="Q1409" s="35"/>
      <c r="R1409" s="35"/>
      <c r="S1409" s="35"/>
      <c r="T1409" s="35"/>
      <c r="U1409" s="35"/>
      <c r="V1409" s="35"/>
      <c r="W1409" s="35"/>
      <c r="X1409" s="35"/>
      <c r="Y1409" s="35"/>
      <c r="Z1409" s="36">
        <v>4139.3900000000003</v>
      </c>
      <c r="AA1409" s="40">
        <v>596.76</v>
      </c>
      <c r="AB1409" s="35"/>
      <c r="AC1409" s="35"/>
      <c r="AD1409" s="35"/>
      <c r="AE1409" s="35"/>
      <c r="AF1409" s="35"/>
      <c r="AG1409" s="35"/>
      <c r="AH1409" s="35"/>
    </row>
    <row r="1410" spans="1:34" x14ac:dyDescent="0.25">
      <c r="A1410" s="5">
        <v>59</v>
      </c>
      <c r="B1410" s="5">
        <v>813</v>
      </c>
      <c r="C1410" s="34">
        <v>46008</v>
      </c>
      <c r="D1410" s="5" t="s">
        <v>319</v>
      </c>
      <c r="E1410" s="33">
        <v>2409.25</v>
      </c>
      <c r="F1410" s="33">
        <f>E1410-G1410</f>
        <v>2409.25</v>
      </c>
      <c r="G1410" s="33">
        <v>0</v>
      </c>
      <c r="H1410" s="34">
        <v>46013</v>
      </c>
      <c r="I1410" s="34"/>
      <c r="J1410" s="34">
        <v>46029</v>
      </c>
      <c r="K1410" s="34" t="s">
        <v>310</v>
      </c>
      <c r="L1410" s="34" t="s">
        <v>298</v>
      </c>
      <c r="Q1410" s="37"/>
      <c r="R1410" s="37"/>
      <c r="S1410" s="37"/>
      <c r="T1410" s="37"/>
      <c r="U1410" s="37"/>
      <c r="V1410" s="37"/>
      <c r="W1410" s="37"/>
      <c r="X1410" s="37"/>
      <c r="Y1410" s="37"/>
      <c r="Z1410" s="37"/>
      <c r="AA1410" s="33">
        <v>2409.25</v>
      </c>
      <c r="AB1410" s="37"/>
      <c r="AC1410" s="38"/>
      <c r="AD1410" s="37"/>
      <c r="AE1410" s="37"/>
      <c r="AF1410" s="37"/>
      <c r="AG1410" s="37"/>
      <c r="AH1410" s="37"/>
    </row>
    <row r="1411" spans="1:34" x14ac:dyDescent="0.25">
      <c r="B1411" s="5">
        <v>576</v>
      </c>
      <c r="C1411" s="34">
        <v>45930</v>
      </c>
      <c r="D1411" s="5" t="s">
        <v>307</v>
      </c>
      <c r="E1411" s="36">
        <v>77.19</v>
      </c>
      <c r="F1411" s="36">
        <f>E1411-G1411</f>
        <v>77.19</v>
      </c>
      <c r="G1411" s="36">
        <v>0</v>
      </c>
      <c r="H1411" s="34">
        <v>45933</v>
      </c>
      <c r="J1411" s="34">
        <v>46029</v>
      </c>
      <c r="K1411" s="34" t="s">
        <v>318</v>
      </c>
      <c r="L1411" s="34" t="s">
        <v>298</v>
      </c>
      <c r="M1411" s="34"/>
      <c r="N1411" s="39" t="s">
        <v>317</v>
      </c>
      <c r="Q1411" s="35"/>
      <c r="R1411" s="35"/>
      <c r="S1411" s="35"/>
      <c r="T1411" s="35"/>
      <c r="U1411" s="35"/>
      <c r="V1411" s="35"/>
      <c r="W1411" s="35"/>
      <c r="X1411" s="35"/>
      <c r="Y1411" s="35"/>
      <c r="Z1411" s="35"/>
      <c r="AA1411" s="35"/>
      <c r="AB1411" s="35"/>
      <c r="AC1411" s="35"/>
      <c r="AD1411" s="33">
        <v>77.19</v>
      </c>
      <c r="AE1411" s="35"/>
      <c r="AF1411" s="35"/>
      <c r="AG1411" s="35"/>
      <c r="AH1411" s="35"/>
    </row>
    <row r="1412" spans="1:34" x14ac:dyDescent="0.25">
      <c r="A1412" s="5">
        <v>26</v>
      </c>
      <c r="B1412" s="5">
        <v>824</v>
      </c>
      <c r="C1412" s="34">
        <v>46013</v>
      </c>
      <c r="D1412" s="5" t="s">
        <v>316</v>
      </c>
      <c r="E1412" s="36">
        <v>170.86</v>
      </c>
      <c r="F1412" s="36">
        <f>E1412-G1412</f>
        <v>170.86</v>
      </c>
      <c r="G1412" s="36">
        <v>0</v>
      </c>
      <c r="H1412" s="34">
        <v>46034</v>
      </c>
      <c r="I1412" s="34">
        <v>46034</v>
      </c>
      <c r="J1412" s="34">
        <v>46030</v>
      </c>
      <c r="K1412" s="34" t="s">
        <v>315</v>
      </c>
      <c r="L1412" s="34" t="s">
        <v>298</v>
      </c>
      <c r="M1412" s="34" t="s">
        <v>308</v>
      </c>
      <c r="Q1412" s="37"/>
      <c r="R1412" s="37"/>
      <c r="S1412" s="37"/>
      <c r="T1412" s="37"/>
      <c r="U1412" s="37"/>
      <c r="V1412" s="37"/>
      <c r="W1412" s="37"/>
      <c r="X1412" s="37"/>
      <c r="Y1412" s="37"/>
      <c r="Z1412" s="37"/>
      <c r="AA1412" s="37"/>
      <c r="AB1412" s="38">
        <v>170.86</v>
      </c>
      <c r="AC1412" s="37"/>
      <c r="AD1412" s="37"/>
      <c r="AE1412" s="37"/>
      <c r="AF1412" s="37"/>
      <c r="AG1412" s="37"/>
      <c r="AH1412" s="37"/>
    </row>
    <row r="1413" spans="1:34" x14ac:dyDescent="0.25">
      <c r="A1413" s="5">
        <v>26</v>
      </c>
      <c r="B1413" s="5">
        <v>786</v>
      </c>
      <c r="C1413" s="34">
        <v>45995</v>
      </c>
      <c r="D1413" s="5" t="s">
        <v>314</v>
      </c>
      <c r="E1413" s="36">
        <v>116.05</v>
      </c>
      <c r="F1413" s="36">
        <f>E1413-G1413</f>
        <v>116.05</v>
      </c>
      <c r="G1413" s="36">
        <v>0</v>
      </c>
      <c r="H1413" s="34">
        <v>46014</v>
      </c>
      <c r="I1413" s="34">
        <v>46027</v>
      </c>
      <c r="J1413" s="34">
        <v>46030</v>
      </c>
      <c r="K1413" s="34" t="s">
        <v>313</v>
      </c>
      <c r="L1413" s="34" t="s">
        <v>309</v>
      </c>
      <c r="M1413" s="34" t="s">
        <v>308</v>
      </c>
      <c r="Q1413" s="35"/>
      <c r="R1413" s="35"/>
      <c r="S1413" s="35"/>
      <c r="T1413" s="35"/>
      <c r="U1413" s="35"/>
      <c r="V1413" s="35"/>
      <c r="W1413" s="35"/>
      <c r="X1413" s="35"/>
      <c r="Y1413" s="35"/>
      <c r="Z1413" s="35"/>
      <c r="AA1413" s="35"/>
      <c r="AB1413" s="33">
        <v>116.05</v>
      </c>
      <c r="AC1413" s="35"/>
      <c r="AD1413" s="35"/>
      <c r="AE1413" s="35"/>
      <c r="AF1413" s="35"/>
      <c r="AG1413" s="35"/>
      <c r="AH1413" s="35"/>
    </row>
    <row r="1414" spans="1:34" x14ac:dyDescent="0.25">
      <c r="A1414" s="5">
        <v>59</v>
      </c>
      <c r="B1414" s="5">
        <v>819</v>
      </c>
      <c r="C1414" s="34">
        <v>46009</v>
      </c>
      <c r="D1414" s="5" t="s">
        <v>312</v>
      </c>
      <c r="E1414" s="36">
        <v>99.8</v>
      </c>
      <c r="F1414" s="36">
        <f>E1414-G1414</f>
        <v>99.8</v>
      </c>
      <c r="G1414" s="36">
        <v>0</v>
      </c>
      <c r="H1414" s="34">
        <v>46034</v>
      </c>
      <c r="I1414" s="34">
        <v>46034</v>
      </c>
      <c r="J1414" s="34">
        <v>46030</v>
      </c>
      <c r="K1414" s="34" t="s">
        <v>310</v>
      </c>
      <c r="L1414" s="34" t="s">
        <v>309</v>
      </c>
      <c r="M1414" s="34" t="s">
        <v>308</v>
      </c>
      <c r="Q1414" s="37"/>
      <c r="R1414" s="37"/>
      <c r="S1414" s="37"/>
      <c r="T1414" s="37"/>
      <c r="U1414" s="37"/>
      <c r="V1414" s="37"/>
      <c r="W1414" s="37"/>
      <c r="X1414" s="37"/>
      <c r="Y1414" s="37"/>
      <c r="Z1414" s="37"/>
      <c r="AA1414" s="33">
        <v>99.8</v>
      </c>
      <c r="AB1414" s="37"/>
      <c r="AC1414" s="37"/>
      <c r="AD1414" s="37"/>
      <c r="AE1414" s="37"/>
      <c r="AF1414" s="37"/>
      <c r="AG1414" s="37"/>
      <c r="AH1414" s="37"/>
    </row>
    <row r="1415" spans="1:34" x14ac:dyDescent="0.25">
      <c r="A1415" s="5">
        <v>59</v>
      </c>
      <c r="B1415" s="5">
        <v>791</v>
      </c>
      <c r="C1415" s="34">
        <v>46000</v>
      </c>
      <c r="D1415" s="5" t="s">
        <v>311</v>
      </c>
      <c r="E1415" s="36">
        <v>3290.27</v>
      </c>
      <c r="F1415" s="36">
        <f>E1415-G1415</f>
        <v>3290.27</v>
      </c>
      <c r="G1415" s="36">
        <v>0</v>
      </c>
      <c r="H1415" s="34">
        <v>46009</v>
      </c>
      <c r="I1415" s="34">
        <v>46029</v>
      </c>
      <c r="J1415" s="34">
        <v>46030</v>
      </c>
      <c r="K1415" s="34" t="s">
        <v>310</v>
      </c>
      <c r="L1415" s="34" t="s">
        <v>309</v>
      </c>
      <c r="M1415" s="34" t="s">
        <v>308</v>
      </c>
      <c r="Q1415" s="35"/>
      <c r="R1415" s="35"/>
      <c r="S1415" s="35"/>
      <c r="T1415" s="35"/>
      <c r="U1415" s="35"/>
      <c r="V1415" s="35"/>
      <c r="W1415" s="35"/>
      <c r="X1415" s="35"/>
      <c r="Y1415" s="35"/>
      <c r="Z1415" s="35"/>
      <c r="AA1415" s="33">
        <v>3290.27</v>
      </c>
      <c r="AB1415" s="35"/>
      <c r="AC1415" s="35"/>
      <c r="AD1415" s="35"/>
      <c r="AE1415" s="35"/>
      <c r="AF1415" s="35"/>
      <c r="AG1415" s="35"/>
      <c r="AH1415" s="35"/>
    </row>
    <row r="1416" spans="1:34" x14ac:dyDescent="0.25">
      <c r="A1416" s="5">
        <v>59</v>
      </c>
      <c r="B1416" s="5">
        <v>834</v>
      </c>
      <c r="C1416" s="34">
        <v>46014</v>
      </c>
      <c r="D1416" s="5" t="s">
        <v>307</v>
      </c>
      <c r="E1416" s="36">
        <v>18.100000000000001</v>
      </c>
      <c r="F1416" s="36">
        <f>E1416-G1416</f>
        <v>18.100000000000001</v>
      </c>
      <c r="G1416" s="36">
        <v>0</v>
      </c>
      <c r="H1416" s="34">
        <v>46029</v>
      </c>
      <c r="I1416" s="34"/>
      <c r="J1416" s="34">
        <v>46031</v>
      </c>
      <c r="K1416" s="34" t="s">
        <v>306</v>
      </c>
      <c r="L1416" s="34" t="s">
        <v>298</v>
      </c>
      <c r="Q1416" s="37"/>
      <c r="R1416" s="37"/>
      <c r="S1416" s="37"/>
      <c r="T1416" s="37"/>
      <c r="U1416" s="37"/>
      <c r="V1416" s="37"/>
      <c r="W1416" s="37"/>
      <c r="X1416" s="37"/>
      <c r="Y1416" s="37"/>
      <c r="Z1416" s="37"/>
      <c r="AA1416" s="37"/>
      <c r="AB1416" s="37"/>
      <c r="AC1416" s="37"/>
      <c r="AD1416" s="33">
        <v>18.100000000000001</v>
      </c>
      <c r="AE1416" s="37"/>
      <c r="AF1416" s="37"/>
      <c r="AG1416" s="37"/>
      <c r="AH1416" s="37"/>
    </row>
    <row r="1417" spans="1:34" x14ac:dyDescent="0.25">
      <c r="B1417" s="5">
        <v>687</v>
      </c>
      <c r="C1417" s="34">
        <v>45960</v>
      </c>
      <c r="D1417" s="5" t="s">
        <v>305</v>
      </c>
      <c r="E1417" s="36">
        <v>136.65</v>
      </c>
      <c r="F1417" s="36">
        <f>E1417-G1417</f>
        <v>136.65</v>
      </c>
      <c r="G1417" s="36">
        <v>0</v>
      </c>
      <c r="H1417" s="34">
        <v>45982</v>
      </c>
      <c r="I1417" s="34"/>
      <c r="J1417" s="34">
        <v>46031</v>
      </c>
      <c r="K1417" s="34" t="s">
        <v>304</v>
      </c>
      <c r="L1417" s="34" t="s">
        <v>303</v>
      </c>
      <c r="Q1417" s="35"/>
      <c r="R1417" s="35"/>
      <c r="S1417" s="35"/>
      <c r="T1417" s="35"/>
      <c r="U1417" s="35"/>
      <c r="V1417" s="35"/>
      <c r="W1417" s="35"/>
      <c r="X1417" s="35"/>
      <c r="Y1417" s="35"/>
      <c r="Z1417" s="37"/>
      <c r="AA1417" s="33">
        <v>17.149999999999999</v>
      </c>
      <c r="AB1417" s="36">
        <v>119.5</v>
      </c>
      <c r="AC1417" s="35"/>
      <c r="AD1417" s="35"/>
      <c r="AE1417" s="35"/>
      <c r="AF1417" s="35"/>
      <c r="AG1417" s="35"/>
      <c r="AH1417" s="35"/>
    </row>
    <row r="1418" spans="1:34" x14ac:dyDescent="0.25">
      <c r="A1418" s="5">
        <v>64</v>
      </c>
      <c r="B1418" s="5">
        <v>809</v>
      </c>
      <c r="C1418" s="34">
        <v>46003</v>
      </c>
      <c r="D1418" s="5" t="s">
        <v>302</v>
      </c>
      <c r="E1418" s="33">
        <v>1155</v>
      </c>
      <c r="F1418" s="33">
        <f>E1418-G1418</f>
        <v>1155</v>
      </c>
      <c r="G1418" s="33">
        <v>0</v>
      </c>
      <c r="H1418" s="34">
        <v>45665</v>
      </c>
      <c r="J1418" s="34">
        <v>46034</v>
      </c>
      <c r="K1418" s="34" t="s">
        <v>301</v>
      </c>
      <c r="L1418" s="34" t="s">
        <v>298</v>
      </c>
      <c r="Q1418" s="37"/>
      <c r="R1418" s="37"/>
      <c r="S1418" s="37"/>
      <c r="T1418" s="37"/>
      <c r="U1418" s="37"/>
      <c r="V1418" s="37"/>
      <c r="W1418" s="37"/>
      <c r="X1418" s="37"/>
      <c r="Y1418" s="37"/>
      <c r="Z1418" s="37"/>
      <c r="AA1418" s="37"/>
      <c r="AB1418" s="33">
        <v>1155</v>
      </c>
      <c r="AC1418" s="37"/>
      <c r="AD1418" s="37"/>
      <c r="AE1418" s="37"/>
      <c r="AF1418" s="37"/>
      <c r="AG1418" s="37"/>
      <c r="AH1418" s="37"/>
    </row>
    <row r="1419" spans="1:34" x14ac:dyDescent="0.25">
      <c r="B1419" s="5">
        <v>738</v>
      </c>
      <c r="C1419" s="34">
        <v>45980</v>
      </c>
      <c r="D1419" s="5" t="s">
        <v>300</v>
      </c>
      <c r="E1419" s="36">
        <v>133.5</v>
      </c>
      <c r="F1419" s="36">
        <f>E1419-G1419</f>
        <v>133.5</v>
      </c>
      <c r="G1419" s="36">
        <v>0</v>
      </c>
      <c r="H1419" s="34">
        <v>45989</v>
      </c>
      <c r="I1419" s="34"/>
      <c r="J1419" s="34">
        <v>45995</v>
      </c>
      <c r="K1419" s="34" t="s">
        <v>299</v>
      </c>
      <c r="L1419" s="34" t="s">
        <v>298</v>
      </c>
      <c r="Q1419" s="35"/>
      <c r="R1419" s="35"/>
      <c r="S1419" s="35"/>
      <c r="T1419" s="35"/>
      <c r="U1419" s="35"/>
      <c r="V1419" s="35"/>
      <c r="W1419" s="35"/>
      <c r="X1419" s="35"/>
      <c r="Y1419" s="35"/>
      <c r="Z1419" s="35"/>
      <c r="AA1419" s="33">
        <v>133.5</v>
      </c>
      <c r="AB1419" s="35"/>
      <c r="AC1419" s="35"/>
      <c r="AD1419" s="35"/>
      <c r="AE1419" s="35"/>
      <c r="AF1419" s="35"/>
      <c r="AG1419" s="35"/>
      <c r="AH1419" s="35"/>
    </row>
  </sheetData>
  <autoFilter ref="B5:Z1419" xr:uid="{D756111E-6040-47C1-96F4-5C15D36D0CF0}"/>
  <pageMargins left="0.7" right="0.7" top="0.75" bottom="0.75" header="0.3" footer="0.3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A306-FCB7-441D-A1C9-D3D5BC97ADCC}">
  <sheetPr>
    <tabColor rgb="FFFF0000"/>
  </sheetPr>
  <dimension ref="B1:Q20"/>
  <sheetViews>
    <sheetView topLeftCell="D2" zoomScale="80" zoomScaleNormal="80" workbookViewId="0">
      <selection activeCell="D20" sqref="D20"/>
    </sheetView>
  </sheetViews>
  <sheetFormatPr defaultRowHeight="15" x14ac:dyDescent="0.25"/>
  <cols>
    <col min="1" max="1" width="5.140625" customWidth="1"/>
    <col min="2" max="2" width="10" style="10" customWidth="1"/>
    <col min="3" max="3" width="9.42578125" style="10" customWidth="1"/>
    <col min="4" max="4" width="45" style="7" customWidth="1"/>
    <col min="5" max="5" width="26.140625" style="7" customWidth="1"/>
    <col min="6" max="6" width="65.140625" style="7" customWidth="1"/>
    <col min="7" max="7" width="31.28515625" hidden="1" customWidth="1"/>
    <col min="8" max="8" width="27.28515625" style="5" hidden="1" customWidth="1"/>
    <col min="9" max="9" width="41.140625" hidden="1" customWidth="1"/>
    <col min="10" max="10" width="19.140625" hidden="1" customWidth="1"/>
    <col min="11" max="11" width="13.85546875" hidden="1" customWidth="1"/>
    <col min="12" max="12" width="55" style="5" customWidth="1"/>
    <col min="13" max="13" width="26.28515625" style="5" customWidth="1"/>
    <col min="14" max="14" width="21.28515625" style="5" customWidth="1"/>
    <col min="15" max="15" width="18.5703125" style="5" customWidth="1"/>
    <col min="16" max="16" width="18.85546875" style="5" customWidth="1"/>
    <col min="17" max="17" width="23.42578125" style="5" customWidth="1"/>
  </cols>
  <sheetData>
    <row r="1" spans="2:17" ht="33.75" customHeight="1" x14ac:dyDescent="0.25">
      <c r="D1" s="18" t="s">
        <v>288</v>
      </c>
    </row>
    <row r="2" spans="2:17" x14ac:dyDescent="0.25">
      <c r="L2" s="15" t="s">
        <v>98</v>
      </c>
    </row>
    <row r="3" spans="2:17" x14ac:dyDescent="0.25">
      <c r="L3" s="16" t="s">
        <v>99</v>
      </c>
    </row>
    <row r="4" spans="2:17" x14ac:dyDescent="0.25">
      <c r="L4" s="19" t="s">
        <v>100</v>
      </c>
    </row>
    <row r="5" spans="2:17" x14ac:dyDescent="0.25">
      <c r="L5" s="26" t="s">
        <v>274</v>
      </c>
    </row>
    <row r="7" spans="2:17" ht="47.45" customHeight="1" x14ac:dyDescent="0.25">
      <c r="B7" s="3" t="s">
        <v>270</v>
      </c>
      <c r="C7" s="3" t="s">
        <v>1</v>
      </c>
      <c r="D7" s="3" t="s">
        <v>0</v>
      </c>
      <c r="E7" s="3" t="s">
        <v>1</v>
      </c>
      <c r="F7" s="3" t="s">
        <v>2</v>
      </c>
      <c r="G7" s="3" t="s">
        <v>3</v>
      </c>
      <c r="H7" s="3" t="s">
        <v>5</v>
      </c>
      <c r="I7" s="3" t="s">
        <v>4</v>
      </c>
      <c r="J7" s="3" t="s">
        <v>21</v>
      </c>
      <c r="K7" s="3" t="s">
        <v>22</v>
      </c>
      <c r="L7" s="3" t="s">
        <v>86</v>
      </c>
      <c r="M7" s="3" t="s">
        <v>269</v>
      </c>
      <c r="N7" s="3" t="s">
        <v>127</v>
      </c>
      <c r="O7" s="3" t="s">
        <v>93</v>
      </c>
      <c r="P7" s="3" t="s">
        <v>94</v>
      </c>
      <c r="Q7" s="3" t="s">
        <v>95</v>
      </c>
    </row>
    <row r="8" spans="2:17" ht="34.5" customHeight="1" x14ac:dyDescent="0.25">
      <c r="B8" s="8">
        <v>1</v>
      </c>
      <c r="C8" s="8" t="s">
        <v>271</v>
      </c>
      <c r="D8" s="13" t="s">
        <v>11</v>
      </c>
      <c r="E8" s="13" t="s">
        <v>12</v>
      </c>
      <c r="F8" s="13" t="s">
        <v>13</v>
      </c>
      <c r="G8" s="1"/>
      <c r="H8" s="4"/>
      <c r="I8" s="2"/>
      <c r="J8" s="2"/>
      <c r="K8" s="2"/>
      <c r="L8" s="20" t="s">
        <v>104</v>
      </c>
      <c r="M8" s="20"/>
      <c r="N8" s="6"/>
      <c r="O8" s="4"/>
      <c r="P8" s="4"/>
      <c r="Q8" s="4"/>
    </row>
    <row r="9" spans="2:17" ht="34.5" customHeight="1" x14ac:dyDescent="0.25">
      <c r="B9" s="8">
        <v>2</v>
      </c>
      <c r="C9" s="8" t="s">
        <v>271</v>
      </c>
      <c r="D9" s="6" t="s">
        <v>108</v>
      </c>
      <c r="E9" s="6" t="s">
        <v>28</v>
      </c>
      <c r="F9" s="6" t="s">
        <v>118</v>
      </c>
      <c r="G9" s="2"/>
      <c r="H9" s="4"/>
      <c r="I9" s="2"/>
      <c r="J9" s="2"/>
      <c r="K9" s="2"/>
      <c r="L9" s="24" t="s">
        <v>87</v>
      </c>
      <c r="M9" s="25">
        <v>45538</v>
      </c>
      <c r="N9" s="6"/>
      <c r="O9" s="4" t="s">
        <v>96</v>
      </c>
      <c r="P9" s="4"/>
      <c r="Q9" s="4"/>
    </row>
    <row r="10" spans="2:17" ht="34.5" customHeight="1" x14ac:dyDescent="0.25">
      <c r="B10" s="8">
        <v>3</v>
      </c>
      <c r="C10" s="8" t="s">
        <v>271</v>
      </c>
      <c r="D10" s="6" t="s">
        <v>122</v>
      </c>
      <c r="E10" s="6" t="s">
        <v>28</v>
      </c>
      <c r="F10" s="6" t="s">
        <v>123</v>
      </c>
      <c r="G10" s="2"/>
      <c r="H10" s="4"/>
      <c r="I10" s="2"/>
      <c r="J10" s="2"/>
      <c r="K10" s="2"/>
      <c r="L10" s="14" t="s">
        <v>87</v>
      </c>
      <c r="M10" s="27">
        <v>46221</v>
      </c>
      <c r="N10" s="21">
        <v>45404</v>
      </c>
      <c r="O10" s="6" t="s">
        <v>96</v>
      </c>
      <c r="P10" s="6" t="s">
        <v>96</v>
      </c>
      <c r="Q10" s="4"/>
    </row>
    <row r="11" spans="2:17" ht="34.5" customHeight="1" x14ac:dyDescent="0.25">
      <c r="B11" s="8">
        <v>4</v>
      </c>
      <c r="C11" s="8" t="s">
        <v>271</v>
      </c>
      <c r="D11" s="6" t="s">
        <v>126</v>
      </c>
      <c r="E11" s="6" t="s">
        <v>28</v>
      </c>
      <c r="F11" s="6" t="s">
        <v>35</v>
      </c>
      <c r="G11" s="2"/>
      <c r="H11" s="4"/>
      <c r="I11" s="2"/>
      <c r="J11" s="2"/>
      <c r="K11" s="2"/>
      <c r="L11" s="14" t="s">
        <v>87</v>
      </c>
      <c r="M11" s="27">
        <v>46876</v>
      </c>
      <c r="N11" s="21">
        <v>45411</v>
      </c>
      <c r="O11" s="4"/>
      <c r="P11" s="4"/>
      <c r="Q11" s="4"/>
    </row>
    <row r="12" spans="2:17" ht="34.5" customHeight="1" x14ac:dyDescent="0.25">
      <c r="B12" s="8">
        <v>5</v>
      </c>
      <c r="C12" s="8" t="s">
        <v>271</v>
      </c>
      <c r="D12" s="6" t="s">
        <v>137</v>
      </c>
      <c r="E12" s="6" t="s">
        <v>28</v>
      </c>
      <c r="F12" s="6" t="s">
        <v>145</v>
      </c>
      <c r="G12" s="4"/>
      <c r="H12" s="4"/>
      <c r="I12" s="4"/>
      <c r="J12" s="4"/>
      <c r="K12" s="4"/>
      <c r="L12" s="17" t="s">
        <v>87</v>
      </c>
      <c r="M12" s="14"/>
      <c r="N12" s="21">
        <v>45443</v>
      </c>
      <c r="O12" s="4"/>
      <c r="P12" s="4"/>
      <c r="Q12" s="4"/>
    </row>
    <row r="13" spans="2:17" ht="34.5" customHeight="1" x14ac:dyDescent="0.25">
      <c r="B13" s="8">
        <v>6</v>
      </c>
      <c r="C13" s="8" t="s">
        <v>271</v>
      </c>
      <c r="D13" s="6" t="s">
        <v>142</v>
      </c>
      <c r="E13" s="6" t="s">
        <v>28</v>
      </c>
      <c r="F13" s="11" t="s">
        <v>144</v>
      </c>
      <c r="G13" s="4"/>
      <c r="H13" s="4"/>
      <c r="I13" s="4"/>
      <c r="J13" s="4"/>
      <c r="K13" s="4"/>
      <c r="L13" s="6" t="s">
        <v>129</v>
      </c>
      <c r="M13" s="6"/>
      <c r="N13" s="21">
        <v>45447</v>
      </c>
      <c r="O13" s="4"/>
      <c r="P13" s="4"/>
      <c r="Q13" s="4"/>
    </row>
    <row r="14" spans="2:17" ht="34.5" customHeight="1" x14ac:dyDescent="0.25">
      <c r="B14" s="8">
        <v>7</v>
      </c>
      <c r="C14" s="8" t="s">
        <v>271</v>
      </c>
      <c r="D14" s="6" t="s">
        <v>143</v>
      </c>
      <c r="E14" s="13" t="s">
        <v>12</v>
      </c>
      <c r="F14" s="6"/>
      <c r="G14" s="4"/>
      <c r="H14" s="4"/>
      <c r="I14" s="4"/>
      <c r="J14" s="4"/>
      <c r="K14" s="4"/>
      <c r="L14" s="14" t="s">
        <v>147</v>
      </c>
      <c r="M14" s="27">
        <v>46184</v>
      </c>
      <c r="N14" s="21">
        <v>45469</v>
      </c>
      <c r="O14" s="4"/>
      <c r="P14" s="4"/>
      <c r="Q14" s="4"/>
    </row>
    <row r="15" spans="2:17" ht="34.5" customHeight="1" x14ac:dyDescent="0.25">
      <c r="B15" s="8">
        <v>8</v>
      </c>
      <c r="C15" s="8" t="s">
        <v>271</v>
      </c>
      <c r="D15" s="6" t="s">
        <v>148</v>
      </c>
      <c r="E15" s="6" t="s">
        <v>18</v>
      </c>
      <c r="F15" s="6" t="s">
        <v>279</v>
      </c>
      <c r="G15" s="4"/>
      <c r="H15" s="4"/>
      <c r="I15" s="4"/>
      <c r="J15" s="4"/>
      <c r="K15" s="4"/>
      <c r="L15" s="14" t="s">
        <v>87</v>
      </c>
      <c r="M15" s="27">
        <v>46960</v>
      </c>
      <c r="N15" s="21">
        <v>45583</v>
      </c>
      <c r="O15" s="4"/>
      <c r="P15" s="4"/>
      <c r="Q15" s="4"/>
    </row>
    <row r="16" spans="2:17" ht="34.5" customHeight="1" x14ac:dyDescent="0.25">
      <c r="B16" s="8">
        <v>9</v>
      </c>
      <c r="C16" s="8" t="s">
        <v>271</v>
      </c>
      <c r="D16" s="8" t="s">
        <v>157</v>
      </c>
      <c r="E16" s="6" t="s">
        <v>28</v>
      </c>
      <c r="F16" s="6" t="s">
        <v>160</v>
      </c>
      <c r="G16" s="4"/>
      <c r="H16" s="4"/>
      <c r="I16" s="4"/>
      <c r="J16" s="4"/>
      <c r="K16" s="4"/>
      <c r="L16" s="14" t="s">
        <v>87</v>
      </c>
      <c r="M16" s="27">
        <v>46351</v>
      </c>
      <c r="N16" s="21">
        <v>45614</v>
      </c>
      <c r="O16" s="4"/>
      <c r="P16" s="4"/>
      <c r="Q16" s="4"/>
    </row>
    <row r="17" spans="2:17" ht="34.5" customHeight="1" x14ac:dyDescent="0.25">
      <c r="B17" s="8">
        <v>10</v>
      </c>
      <c r="C17" s="8" t="s">
        <v>271</v>
      </c>
      <c r="D17" s="8" t="s">
        <v>285</v>
      </c>
      <c r="E17" s="6" t="s">
        <v>28</v>
      </c>
      <c r="F17" s="6" t="s">
        <v>287</v>
      </c>
      <c r="G17" s="2"/>
      <c r="H17" s="4"/>
      <c r="I17" s="2"/>
      <c r="J17" s="2"/>
      <c r="K17" s="2"/>
      <c r="L17" s="14" t="s">
        <v>87</v>
      </c>
      <c r="M17" s="27">
        <v>46374</v>
      </c>
      <c r="N17" s="21">
        <v>45938</v>
      </c>
      <c r="O17" s="4"/>
      <c r="P17" s="4"/>
      <c r="Q17" s="4"/>
    </row>
    <row r="18" spans="2:17" ht="34.5" customHeight="1" x14ac:dyDescent="0.25">
      <c r="B18" s="8">
        <v>11</v>
      </c>
      <c r="C18" s="8" t="s">
        <v>271</v>
      </c>
      <c r="D18" s="8" t="s">
        <v>124</v>
      </c>
      <c r="E18" s="6" t="s">
        <v>28</v>
      </c>
      <c r="F18" s="6" t="s">
        <v>123</v>
      </c>
      <c r="G18" s="2"/>
      <c r="H18" s="4"/>
      <c r="I18" s="2"/>
      <c r="J18" s="2"/>
      <c r="K18" s="2"/>
      <c r="L18" s="14" t="s">
        <v>87</v>
      </c>
      <c r="M18" s="27">
        <v>46532</v>
      </c>
      <c r="N18" s="21">
        <v>45404</v>
      </c>
      <c r="O18" s="4"/>
      <c r="P18" s="4"/>
      <c r="Q18" s="4"/>
    </row>
    <row r="19" spans="2:17" ht="34.5" customHeight="1" x14ac:dyDescent="0.25">
      <c r="B19" s="8">
        <v>12</v>
      </c>
      <c r="C19" s="8" t="s">
        <v>271</v>
      </c>
      <c r="D19" s="8" t="s">
        <v>151</v>
      </c>
      <c r="E19" s="6"/>
      <c r="F19" s="6" t="s">
        <v>152</v>
      </c>
      <c r="G19" s="4"/>
      <c r="H19" s="4"/>
      <c r="I19" s="4"/>
      <c r="J19" s="4"/>
      <c r="K19" s="14" t="s">
        <v>87</v>
      </c>
      <c r="L19" s="14"/>
      <c r="M19" s="21">
        <v>45580</v>
      </c>
      <c r="N19" s="4"/>
      <c r="O19" s="4"/>
      <c r="P19"/>
      <c r="Q19"/>
    </row>
    <row r="20" spans="2:17" ht="34.5" customHeight="1" x14ac:dyDescent="0.25">
      <c r="B20" s="8">
        <v>13</v>
      </c>
      <c r="C20" s="8" t="s">
        <v>271</v>
      </c>
      <c r="D20" s="8" t="s">
        <v>296</v>
      </c>
      <c r="E20" s="6"/>
      <c r="F20" s="6" t="s">
        <v>297</v>
      </c>
      <c r="G20" s="4"/>
      <c r="H20" s="4"/>
      <c r="I20" s="4"/>
      <c r="J20" s="4"/>
      <c r="K20" s="14" t="s">
        <v>87</v>
      </c>
      <c r="L20" s="21"/>
      <c r="M20" s="21"/>
      <c r="N20" s="4"/>
      <c r="O20" s="4"/>
      <c r="P20"/>
      <c r="Q20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6F95-A338-4567-8C8A-833454FDACB8}">
  <sheetPr>
    <tabColor rgb="FFFFFF00"/>
  </sheetPr>
  <dimension ref="B1:Q42"/>
  <sheetViews>
    <sheetView topLeftCell="A28" zoomScale="70" zoomScaleNormal="70" workbookViewId="0">
      <selection activeCell="B44" sqref="B44"/>
    </sheetView>
  </sheetViews>
  <sheetFormatPr defaultRowHeight="15" x14ac:dyDescent="0.25"/>
  <cols>
    <col min="1" max="1" width="5.140625" customWidth="1"/>
    <col min="2" max="2" width="10" style="10" customWidth="1"/>
    <col min="3" max="3" width="9.42578125" style="10" customWidth="1"/>
    <col min="4" max="4" width="45" style="7" customWidth="1"/>
    <col min="5" max="5" width="26.140625" style="7" customWidth="1"/>
    <col min="6" max="6" width="65.140625" style="7" customWidth="1"/>
    <col min="7" max="7" width="31.28515625" hidden="1" customWidth="1"/>
    <col min="8" max="8" width="27.28515625" style="5" hidden="1" customWidth="1"/>
    <col min="9" max="9" width="41.140625" hidden="1" customWidth="1"/>
    <col min="10" max="10" width="19.140625" hidden="1" customWidth="1"/>
    <col min="11" max="11" width="13.85546875" hidden="1" customWidth="1"/>
    <col min="12" max="12" width="55" style="5" customWidth="1"/>
    <col min="13" max="13" width="26.28515625" style="5" customWidth="1"/>
    <col min="14" max="14" width="21.28515625" style="5" customWidth="1"/>
    <col min="15" max="15" width="18.5703125" style="5" customWidth="1"/>
    <col min="16" max="16" width="18.85546875" style="5" customWidth="1"/>
    <col min="17" max="17" width="23.42578125" style="5" customWidth="1"/>
  </cols>
  <sheetData>
    <row r="1" spans="2:17" ht="33.75" customHeight="1" x14ac:dyDescent="0.25">
      <c r="D1" s="18" t="s">
        <v>289</v>
      </c>
    </row>
    <row r="2" spans="2:17" x14ac:dyDescent="0.25">
      <c r="L2" s="15" t="s">
        <v>98</v>
      </c>
    </row>
    <row r="3" spans="2:17" x14ac:dyDescent="0.25">
      <c r="L3" s="16" t="s">
        <v>99</v>
      </c>
    </row>
    <row r="4" spans="2:17" x14ac:dyDescent="0.25">
      <c r="L4" s="19" t="s">
        <v>100</v>
      </c>
    </row>
    <row r="5" spans="2:17" x14ac:dyDescent="0.25">
      <c r="L5" s="26" t="s">
        <v>274</v>
      </c>
    </row>
    <row r="7" spans="2:17" ht="47.45" customHeight="1" x14ac:dyDescent="0.25">
      <c r="B7" s="3" t="s">
        <v>270</v>
      </c>
      <c r="C7" s="3" t="s">
        <v>1</v>
      </c>
      <c r="D7" s="3" t="s">
        <v>0</v>
      </c>
      <c r="E7" s="3" t="s">
        <v>1</v>
      </c>
      <c r="F7" s="3" t="s">
        <v>2</v>
      </c>
      <c r="G7" s="3" t="s">
        <v>3</v>
      </c>
      <c r="H7" s="3" t="s">
        <v>5</v>
      </c>
      <c r="I7" s="3" t="s">
        <v>4</v>
      </c>
      <c r="J7" s="3" t="s">
        <v>21</v>
      </c>
      <c r="K7" s="3" t="s">
        <v>22</v>
      </c>
      <c r="L7" s="3" t="s">
        <v>86</v>
      </c>
      <c r="M7" s="3" t="s">
        <v>269</v>
      </c>
      <c r="N7" s="3" t="s">
        <v>127</v>
      </c>
      <c r="O7" s="3" t="s">
        <v>93</v>
      </c>
      <c r="P7" s="3" t="s">
        <v>94</v>
      </c>
      <c r="Q7" s="3" t="s">
        <v>95</v>
      </c>
    </row>
    <row r="8" spans="2:17" ht="34.5" customHeight="1" x14ac:dyDescent="0.25">
      <c r="B8" s="8">
        <v>1</v>
      </c>
      <c r="C8" s="8" t="s">
        <v>272</v>
      </c>
      <c r="D8" s="13" t="s">
        <v>6</v>
      </c>
      <c r="E8" s="13" t="s">
        <v>8</v>
      </c>
      <c r="F8" s="13" t="s">
        <v>7</v>
      </c>
      <c r="G8" s="1"/>
      <c r="H8" s="4"/>
      <c r="I8" s="2"/>
      <c r="J8" s="2"/>
      <c r="K8" s="2"/>
      <c r="L8" s="14" t="s">
        <v>87</v>
      </c>
      <c r="M8" s="27">
        <v>46708</v>
      </c>
      <c r="N8" s="6"/>
      <c r="O8" s="6" t="s">
        <v>96</v>
      </c>
      <c r="P8" s="6" t="s">
        <v>96</v>
      </c>
      <c r="Q8" s="4"/>
    </row>
    <row r="9" spans="2:17" ht="34.5" customHeight="1" x14ac:dyDescent="0.25">
      <c r="B9" s="8">
        <v>2</v>
      </c>
      <c r="C9" s="8" t="s">
        <v>272</v>
      </c>
      <c r="D9" s="13" t="s">
        <v>9</v>
      </c>
      <c r="E9" s="13" t="s">
        <v>8</v>
      </c>
      <c r="F9" s="13" t="s">
        <v>10</v>
      </c>
      <c r="G9" s="1"/>
      <c r="H9" s="4"/>
      <c r="I9" s="2"/>
      <c r="J9" s="2"/>
      <c r="K9" s="2"/>
      <c r="L9" s="14" t="s">
        <v>87</v>
      </c>
      <c r="M9" s="27">
        <v>46563</v>
      </c>
      <c r="N9" s="6"/>
      <c r="O9" s="4"/>
      <c r="P9" s="4"/>
      <c r="Q9" s="4"/>
    </row>
    <row r="10" spans="2:17" ht="34.5" customHeight="1" x14ac:dyDescent="0.25">
      <c r="B10" s="8">
        <v>3</v>
      </c>
      <c r="C10" s="8" t="s">
        <v>272</v>
      </c>
      <c r="D10" s="6" t="s">
        <v>65</v>
      </c>
      <c r="E10" s="6" t="s">
        <v>28</v>
      </c>
      <c r="F10" s="6" t="s">
        <v>30</v>
      </c>
      <c r="G10" s="2"/>
      <c r="H10" s="4"/>
      <c r="I10" s="2"/>
      <c r="J10" s="2"/>
      <c r="K10" s="2"/>
      <c r="L10" s="14" t="s">
        <v>87</v>
      </c>
      <c r="M10" s="27">
        <v>46849</v>
      </c>
      <c r="N10" s="6"/>
      <c r="O10" s="4" t="s">
        <v>96</v>
      </c>
      <c r="P10" s="4"/>
      <c r="Q10" s="4"/>
    </row>
    <row r="11" spans="2:17" ht="34.5" customHeight="1" x14ac:dyDescent="0.25">
      <c r="B11" s="8">
        <v>4</v>
      </c>
      <c r="C11" s="8" t="s">
        <v>272</v>
      </c>
      <c r="D11" s="6" t="s">
        <v>66</v>
      </c>
      <c r="E11" s="6" t="s">
        <v>28</v>
      </c>
      <c r="F11" s="6" t="s">
        <v>30</v>
      </c>
      <c r="G11" s="2"/>
      <c r="H11" s="4"/>
      <c r="I11" s="2"/>
      <c r="J11" s="2"/>
      <c r="K11" s="2"/>
      <c r="L11" s="14" t="s">
        <v>90</v>
      </c>
      <c r="M11" s="27">
        <v>46183</v>
      </c>
      <c r="N11" s="6"/>
      <c r="O11" s="4" t="s">
        <v>96</v>
      </c>
      <c r="P11" s="4"/>
      <c r="Q11" s="4"/>
    </row>
    <row r="12" spans="2:17" ht="34.5" customHeight="1" x14ac:dyDescent="0.25">
      <c r="B12" s="8">
        <v>5</v>
      </c>
      <c r="C12" s="8" t="s">
        <v>272</v>
      </c>
      <c r="D12" s="6" t="s">
        <v>67</v>
      </c>
      <c r="E12" s="6" t="s">
        <v>28</v>
      </c>
      <c r="F12" s="6" t="s">
        <v>30</v>
      </c>
      <c r="G12" s="2"/>
      <c r="H12" s="4"/>
      <c r="I12" s="2"/>
      <c r="J12" s="2"/>
      <c r="K12" s="2"/>
      <c r="L12" s="14" t="s">
        <v>87</v>
      </c>
      <c r="M12" s="27">
        <v>46399</v>
      </c>
      <c r="N12" s="6"/>
      <c r="O12" s="6" t="s">
        <v>96</v>
      </c>
      <c r="P12" s="6" t="s">
        <v>96</v>
      </c>
      <c r="Q12" s="4"/>
    </row>
    <row r="13" spans="2:17" ht="34.5" customHeight="1" x14ac:dyDescent="0.25">
      <c r="B13" s="8">
        <v>6</v>
      </c>
      <c r="C13" s="8" t="s">
        <v>272</v>
      </c>
      <c r="D13" s="6" t="s">
        <v>71</v>
      </c>
      <c r="E13" s="6" t="s">
        <v>28</v>
      </c>
      <c r="F13" s="6" t="s">
        <v>34</v>
      </c>
      <c r="G13" s="2"/>
      <c r="H13" s="4"/>
      <c r="I13" s="2"/>
      <c r="J13" s="2"/>
      <c r="K13" s="2"/>
      <c r="L13" s="14" t="s">
        <v>87</v>
      </c>
      <c r="M13" s="27">
        <v>46430</v>
      </c>
      <c r="N13" s="6"/>
      <c r="O13" s="6" t="s">
        <v>96</v>
      </c>
      <c r="P13" s="6" t="s">
        <v>96</v>
      </c>
      <c r="Q13" s="4"/>
    </row>
    <row r="14" spans="2:17" ht="34.5" customHeight="1" x14ac:dyDescent="0.25">
      <c r="B14" s="8">
        <v>7</v>
      </c>
      <c r="C14" s="8" t="s">
        <v>272</v>
      </c>
      <c r="D14" s="6" t="s">
        <v>72</v>
      </c>
      <c r="E14" s="6" t="s">
        <v>28</v>
      </c>
      <c r="F14" s="6" t="s">
        <v>56</v>
      </c>
      <c r="G14" s="2"/>
      <c r="H14" s="4"/>
      <c r="I14" s="2"/>
      <c r="J14" s="2"/>
      <c r="K14" s="2"/>
      <c r="L14" s="24" t="s">
        <v>87</v>
      </c>
      <c r="M14" s="25">
        <v>45720</v>
      </c>
      <c r="N14" s="6"/>
      <c r="O14" s="4" t="s">
        <v>96</v>
      </c>
      <c r="P14" s="4"/>
      <c r="Q14" s="4"/>
    </row>
    <row r="15" spans="2:17" ht="34.5" customHeight="1" x14ac:dyDescent="0.25">
      <c r="B15" s="8">
        <v>8</v>
      </c>
      <c r="C15" s="8" t="s">
        <v>272</v>
      </c>
      <c r="D15" s="6" t="s">
        <v>73</v>
      </c>
      <c r="E15" s="6" t="s">
        <v>28</v>
      </c>
      <c r="F15" s="6" t="s">
        <v>38</v>
      </c>
      <c r="G15" s="2"/>
      <c r="H15" s="4"/>
      <c r="I15" s="2"/>
      <c r="J15" s="2"/>
      <c r="K15" s="2"/>
      <c r="L15" s="14" t="s">
        <v>87</v>
      </c>
      <c r="M15" s="27">
        <v>46720</v>
      </c>
      <c r="N15" s="6"/>
      <c r="O15" s="4" t="s">
        <v>96</v>
      </c>
      <c r="P15" s="4"/>
      <c r="Q15" s="4"/>
    </row>
    <row r="16" spans="2:17" ht="34.5" customHeight="1" x14ac:dyDescent="0.25">
      <c r="B16" s="8">
        <v>9</v>
      </c>
      <c r="C16" s="8" t="s">
        <v>272</v>
      </c>
      <c r="D16" s="11" t="s">
        <v>26</v>
      </c>
      <c r="E16" s="6" t="s">
        <v>28</v>
      </c>
      <c r="F16" s="6" t="s">
        <v>35</v>
      </c>
      <c r="G16" s="2"/>
      <c r="H16" s="4"/>
      <c r="I16" s="2"/>
      <c r="J16" s="2"/>
      <c r="K16" s="2"/>
      <c r="L16" s="14" t="s">
        <v>87</v>
      </c>
      <c r="M16" s="27">
        <v>46493</v>
      </c>
      <c r="N16" s="6"/>
      <c r="O16" s="4"/>
      <c r="P16" s="4"/>
      <c r="Q16" s="4"/>
    </row>
    <row r="17" spans="2:17" ht="34.5" customHeight="1" x14ac:dyDescent="0.25">
      <c r="B17" s="8">
        <v>10</v>
      </c>
      <c r="C17" s="8" t="s">
        <v>272</v>
      </c>
      <c r="D17" s="6" t="s">
        <v>75</v>
      </c>
      <c r="E17" s="6" t="s">
        <v>28</v>
      </c>
      <c r="F17" s="6" t="s">
        <v>36</v>
      </c>
      <c r="G17" s="2"/>
      <c r="H17" s="4"/>
      <c r="I17" s="2"/>
      <c r="J17" s="2"/>
      <c r="K17" s="2"/>
      <c r="L17" s="20" t="s">
        <v>106</v>
      </c>
      <c r="M17" s="20"/>
      <c r="N17" s="6"/>
      <c r="O17" s="4"/>
      <c r="P17" s="4"/>
      <c r="Q17" s="4"/>
    </row>
    <row r="18" spans="2:17" ht="34.5" customHeight="1" x14ac:dyDescent="0.25">
      <c r="B18" s="8">
        <v>11</v>
      </c>
      <c r="C18" s="8" t="s">
        <v>272</v>
      </c>
      <c r="D18" s="6" t="s">
        <v>76</v>
      </c>
      <c r="E18" s="6" t="s">
        <v>28</v>
      </c>
      <c r="F18" s="6" t="s">
        <v>56</v>
      </c>
      <c r="G18" s="2"/>
      <c r="H18" s="4"/>
      <c r="I18" s="2"/>
      <c r="J18" s="2"/>
      <c r="K18" s="2"/>
      <c r="L18" s="14" t="s">
        <v>87</v>
      </c>
      <c r="M18" s="27">
        <v>46794</v>
      </c>
      <c r="N18" s="6"/>
      <c r="O18" s="6" t="s">
        <v>96</v>
      </c>
      <c r="P18" s="6" t="s">
        <v>96</v>
      </c>
      <c r="Q18" s="4"/>
    </row>
    <row r="19" spans="2:17" ht="34.5" customHeight="1" x14ac:dyDescent="0.25">
      <c r="B19" s="8">
        <v>12</v>
      </c>
      <c r="C19" s="8" t="s">
        <v>272</v>
      </c>
      <c r="D19" s="6" t="s">
        <v>92</v>
      </c>
      <c r="E19" s="6" t="s">
        <v>28</v>
      </c>
      <c r="F19" s="6" t="s">
        <v>47</v>
      </c>
      <c r="G19" s="2"/>
      <c r="H19" s="4"/>
      <c r="I19" s="2"/>
      <c r="J19" s="2"/>
      <c r="K19" s="2"/>
      <c r="L19" s="20" t="s">
        <v>103</v>
      </c>
      <c r="M19" s="20"/>
      <c r="N19" s="6"/>
      <c r="O19" s="4"/>
      <c r="P19" s="4"/>
      <c r="Q19" s="4"/>
    </row>
    <row r="20" spans="2:17" ht="34.5" customHeight="1" x14ac:dyDescent="0.25">
      <c r="B20" s="8">
        <v>13</v>
      </c>
      <c r="C20" s="8" t="s">
        <v>272</v>
      </c>
      <c r="D20" s="6" t="s">
        <v>57</v>
      </c>
      <c r="E20" s="6" t="s">
        <v>8</v>
      </c>
      <c r="F20" s="11" t="s">
        <v>50</v>
      </c>
      <c r="G20" s="2"/>
      <c r="H20" s="4"/>
      <c r="I20" s="2"/>
      <c r="J20" s="2"/>
      <c r="K20" s="2"/>
      <c r="L20" s="24" t="s">
        <v>281</v>
      </c>
      <c r="M20" s="25">
        <v>45620</v>
      </c>
      <c r="N20" s="6"/>
      <c r="O20" s="4"/>
      <c r="P20" s="4"/>
      <c r="Q20" s="4"/>
    </row>
    <row r="21" spans="2:17" ht="34.5" customHeight="1" x14ac:dyDescent="0.25">
      <c r="B21" s="8">
        <v>14</v>
      </c>
      <c r="C21" s="8" t="s">
        <v>272</v>
      </c>
      <c r="D21" s="6" t="s">
        <v>81</v>
      </c>
      <c r="E21" s="6" t="s">
        <v>28</v>
      </c>
      <c r="F21" s="6" t="s">
        <v>47</v>
      </c>
      <c r="G21" s="2"/>
      <c r="H21" s="4"/>
      <c r="I21" s="2"/>
      <c r="J21" s="2"/>
      <c r="K21" s="2"/>
      <c r="L21" s="14" t="s">
        <v>87</v>
      </c>
      <c r="M21" s="27">
        <v>46222</v>
      </c>
      <c r="N21" s="6"/>
      <c r="O21" s="6" t="s">
        <v>96</v>
      </c>
      <c r="P21" s="6" t="s">
        <v>96</v>
      </c>
      <c r="Q21" s="4"/>
    </row>
    <row r="22" spans="2:17" ht="34.5" customHeight="1" x14ac:dyDescent="0.25">
      <c r="B22" s="8">
        <v>15</v>
      </c>
      <c r="C22" s="8" t="s">
        <v>272</v>
      </c>
      <c r="D22" s="6" t="s">
        <v>82</v>
      </c>
      <c r="E22" s="6" t="s">
        <v>45</v>
      </c>
      <c r="F22" s="6" t="s">
        <v>51</v>
      </c>
      <c r="G22" s="2"/>
      <c r="H22" s="4"/>
      <c r="I22" s="2"/>
      <c r="J22" s="2"/>
      <c r="K22" s="2"/>
      <c r="L22" s="14" t="s">
        <v>87</v>
      </c>
      <c r="M22" s="27">
        <v>46753</v>
      </c>
      <c r="N22" s="6"/>
      <c r="O22" s="6" t="s">
        <v>96</v>
      </c>
      <c r="P22" s="6" t="s">
        <v>96</v>
      </c>
      <c r="Q22" s="4"/>
    </row>
    <row r="23" spans="2:17" ht="34.5" customHeight="1" x14ac:dyDescent="0.25">
      <c r="B23" s="8">
        <v>16</v>
      </c>
      <c r="C23" s="8" t="s">
        <v>272</v>
      </c>
      <c r="D23" s="6" t="s">
        <v>52</v>
      </c>
      <c r="E23" s="6" t="s">
        <v>45</v>
      </c>
      <c r="F23" s="6" t="s">
        <v>51</v>
      </c>
      <c r="G23" s="2"/>
      <c r="H23" s="4"/>
      <c r="I23" s="2"/>
      <c r="J23" s="2"/>
      <c r="K23" s="2"/>
      <c r="L23" s="24" t="s">
        <v>281</v>
      </c>
      <c r="M23" s="25">
        <v>45682</v>
      </c>
      <c r="N23" s="6"/>
      <c r="O23" s="4" t="s">
        <v>96</v>
      </c>
      <c r="P23" s="4"/>
      <c r="Q23" s="4"/>
    </row>
    <row r="24" spans="2:17" ht="34.5" customHeight="1" x14ac:dyDescent="0.25">
      <c r="B24" s="8">
        <v>17</v>
      </c>
      <c r="C24" s="8" t="s">
        <v>272</v>
      </c>
      <c r="D24" s="6" t="s">
        <v>53</v>
      </c>
      <c r="E24" s="6" t="s">
        <v>28</v>
      </c>
      <c r="F24" s="6" t="s">
        <v>47</v>
      </c>
      <c r="G24" s="2"/>
      <c r="H24" s="4"/>
      <c r="I24" s="2"/>
      <c r="J24" s="2"/>
      <c r="K24" s="2"/>
      <c r="L24" s="14" t="s">
        <v>87</v>
      </c>
      <c r="M24" s="27">
        <v>46307</v>
      </c>
      <c r="N24" s="6"/>
      <c r="O24" s="6" t="s">
        <v>96</v>
      </c>
      <c r="P24" s="6" t="s">
        <v>96</v>
      </c>
      <c r="Q24" s="4"/>
    </row>
    <row r="25" spans="2:17" ht="34.5" customHeight="1" x14ac:dyDescent="0.25">
      <c r="B25" s="8">
        <v>18</v>
      </c>
      <c r="C25" s="8" t="s">
        <v>272</v>
      </c>
      <c r="D25" s="6" t="s">
        <v>83</v>
      </c>
      <c r="E25" s="6" t="s">
        <v>28</v>
      </c>
      <c r="F25" s="6" t="s">
        <v>54</v>
      </c>
      <c r="G25" s="2"/>
      <c r="H25" s="4"/>
      <c r="I25" s="2"/>
      <c r="J25" s="2"/>
      <c r="K25" s="2"/>
      <c r="L25" s="14" t="s">
        <v>87</v>
      </c>
      <c r="M25" s="27">
        <v>46490</v>
      </c>
      <c r="N25" s="6"/>
      <c r="O25" s="6" t="s">
        <v>96</v>
      </c>
      <c r="P25" s="6" t="s">
        <v>96</v>
      </c>
      <c r="Q25" s="4"/>
    </row>
    <row r="26" spans="2:17" ht="34.5" customHeight="1" x14ac:dyDescent="0.25">
      <c r="B26" s="8">
        <v>19</v>
      </c>
      <c r="C26" s="8" t="s">
        <v>272</v>
      </c>
      <c r="D26" s="6" t="s">
        <v>55</v>
      </c>
      <c r="E26" s="6" t="s">
        <v>28</v>
      </c>
      <c r="F26" s="6" t="s">
        <v>56</v>
      </c>
      <c r="G26" s="2"/>
      <c r="H26" s="4"/>
      <c r="I26" s="2"/>
      <c r="J26" s="2"/>
      <c r="K26" s="2"/>
      <c r="L26" s="14" t="s">
        <v>90</v>
      </c>
      <c r="M26" s="27">
        <v>46193</v>
      </c>
      <c r="N26" s="6"/>
      <c r="O26" s="4" t="s">
        <v>96</v>
      </c>
      <c r="P26" s="4"/>
      <c r="Q26" s="4"/>
    </row>
    <row r="27" spans="2:17" ht="34.5" customHeight="1" x14ac:dyDescent="0.25">
      <c r="B27" s="8">
        <v>20</v>
      </c>
      <c r="C27" s="8" t="s">
        <v>272</v>
      </c>
      <c r="D27" s="6" t="s">
        <v>119</v>
      </c>
      <c r="E27" s="6" t="s">
        <v>28</v>
      </c>
      <c r="F27" s="6" t="s">
        <v>120</v>
      </c>
      <c r="G27" s="2"/>
      <c r="H27" s="4"/>
      <c r="I27" s="2"/>
      <c r="J27" s="2"/>
      <c r="K27" s="2"/>
      <c r="L27" s="14" t="s">
        <v>87</v>
      </c>
      <c r="M27" s="27">
        <v>46521</v>
      </c>
      <c r="N27" s="21">
        <v>45355</v>
      </c>
      <c r="O27" s="4" t="s">
        <v>96</v>
      </c>
      <c r="P27" s="4"/>
      <c r="Q27" s="4"/>
    </row>
    <row r="28" spans="2:17" ht="34.5" customHeight="1" x14ac:dyDescent="0.25">
      <c r="B28" s="8">
        <v>21</v>
      </c>
      <c r="C28" s="8" t="s">
        <v>272</v>
      </c>
      <c r="D28" s="6" t="s">
        <v>116</v>
      </c>
      <c r="E28" s="6" t="s">
        <v>45</v>
      </c>
      <c r="F28" s="6" t="s">
        <v>33</v>
      </c>
      <c r="G28" s="2"/>
      <c r="H28" s="4"/>
      <c r="I28" s="2"/>
      <c r="J28" s="2"/>
      <c r="K28" s="2"/>
      <c r="L28" s="20" t="s">
        <v>117</v>
      </c>
      <c r="M28" s="20"/>
      <c r="N28" s="21">
        <v>45363</v>
      </c>
      <c r="O28" s="6" t="s">
        <v>96</v>
      </c>
      <c r="P28" s="6" t="s">
        <v>96</v>
      </c>
      <c r="Q28" s="4"/>
    </row>
    <row r="29" spans="2:17" ht="34.5" customHeight="1" x14ac:dyDescent="0.25">
      <c r="B29" s="8">
        <v>22</v>
      </c>
      <c r="C29" s="8" t="s">
        <v>272</v>
      </c>
      <c r="D29" s="6" t="s">
        <v>130</v>
      </c>
      <c r="E29" s="6" t="s">
        <v>45</v>
      </c>
      <c r="F29" s="6" t="s">
        <v>51</v>
      </c>
      <c r="G29" s="2"/>
      <c r="H29" s="4"/>
      <c r="I29" s="2"/>
      <c r="J29" s="2"/>
      <c r="K29" s="2"/>
      <c r="L29" s="24" t="s">
        <v>90</v>
      </c>
      <c r="M29" s="25">
        <v>45695</v>
      </c>
      <c r="N29" s="21">
        <v>45425</v>
      </c>
      <c r="O29" s="6" t="s">
        <v>96</v>
      </c>
      <c r="P29" s="6" t="s">
        <v>96</v>
      </c>
      <c r="Q29" s="4"/>
    </row>
    <row r="30" spans="2:17" ht="34.5" customHeight="1" x14ac:dyDescent="0.25">
      <c r="B30" s="8">
        <v>23</v>
      </c>
      <c r="C30" s="8" t="s">
        <v>272</v>
      </c>
      <c r="D30" s="6" t="s">
        <v>141</v>
      </c>
      <c r="E30" s="6" t="s">
        <v>28</v>
      </c>
      <c r="F30" s="6" t="s">
        <v>139</v>
      </c>
      <c r="G30" s="4"/>
      <c r="H30" s="4"/>
      <c r="I30" s="4"/>
      <c r="J30" s="4"/>
      <c r="K30" s="4"/>
      <c r="L30" s="24" t="s">
        <v>87</v>
      </c>
      <c r="M30" s="25">
        <v>45515</v>
      </c>
      <c r="N30" s="21">
        <v>45495</v>
      </c>
      <c r="O30" s="4"/>
      <c r="P30" s="4"/>
      <c r="Q30" s="4"/>
    </row>
    <row r="31" spans="2:17" ht="34.5" customHeight="1" x14ac:dyDescent="0.25">
      <c r="B31" s="8">
        <v>24</v>
      </c>
      <c r="C31" s="8" t="s">
        <v>272</v>
      </c>
      <c r="D31" s="6" t="s">
        <v>161</v>
      </c>
      <c r="E31" s="6" t="s">
        <v>28</v>
      </c>
      <c r="F31" s="6" t="s">
        <v>47</v>
      </c>
      <c r="G31" s="4"/>
      <c r="H31" s="4"/>
      <c r="I31" s="4"/>
      <c r="J31" s="4"/>
      <c r="K31" s="4"/>
      <c r="L31" s="14" t="s">
        <v>87</v>
      </c>
      <c r="M31" s="27">
        <v>46315</v>
      </c>
      <c r="N31" s="21">
        <v>45552</v>
      </c>
      <c r="O31" s="4"/>
      <c r="P31" s="4"/>
      <c r="Q31" s="4"/>
    </row>
    <row r="32" spans="2:17" ht="34.5" customHeight="1" x14ac:dyDescent="0.25">
      <c r="B32" s="8">
        <v>25</v>
      </c>
      <c r="C32" s="8" t="s">
        <v>272</v>
      </c>
      <c r="D32" s="6" t="s">
        <v>159</v>
      </c>
      <c r="E32" s="6" t="s">
        <v>28</v>
      </c>
      <c r="F32" s="6" t="s">
        <v>47</v>
      </c>
      <c r="G32" s="4"/>
      <c r="H32" s="4"/>
      <c r="I32" s="4"/>
      <c r="J32" s="4"/>
      <c r="K32" s="4"/>
      <c r="L32" s="22" t="s">
        <v>146</v>
      </c>
      <c r="M32" s="22"/>
      <c r="N32" s="21">
        <v>45558</v>
      </c>
      <c r="O32" s="4"/>
      <c r="P32" s="4"/>
      <c r="Q32" s="4"/>
    </row>
    <row r="33" spans="2:17" ht="34.5" customHeight="1" x14ac:dyDescent="0.25">
      <c r="B33" s="8">
        <v>26</v>
      </c>
      <c r="C33" s="8" t="s">
        <v>272</v>
      </c>
      <c r="D33" s="6" t="s">
        <v>153</v>
      </c>
      <c r="E33" s="6" t="s">
        <v>28</v>
      </c>
      <c r="F33" s="6" t="s">
        <v>154</v>
      </c>
      <c r="G33" s="4"/>
      <c r="H33" s="4"/>
      <c r="I33" s="4"/>
      <c r="J33" s="4"/>
      <c r="K33" s="4"/>
      <c r="L33" s="14" t="s">
        <v>87</v>
      </c>
      <c r="M33" s="27">
        <v>46595</v>
      </c>
      <c r="N33" s="21">
        <v>45562</v>
      </c>
      <c r="O33" s="4"/>
      <c r="P33" s="4"/>
      <c r="Q33" s="4"/>
    </row>
    <row r="34" spans="2:17" ht="34.5" customHeight="1" x14ac:dyDescent="0.25">
      <c r="B34" s="8">
        <v>27</v>
      </c>
      <c r="C34" s="8" t="s">
        <v>272</v>
      </c>
      <c r="D34" s="6" t="s">
        <v>150</v>
      </c>
      <c r="E34" s="6" t="s">
        <v>28</v>
      </c>
      <c r="F34" s="6" t="s">
        <v>139</v>
      </c>
      <c r="G34" s="4"/>
      <c r="H34" s="4"/>
      <c r="I34" s="4"/>
      <c r="J34" s="4"/>
      <c r="K34" s="4"/>
      <c r="L34" s="24" t="s">
        <v>87</v>
      </c>
      <c r="M34" s="25">
        <v>45439</v>
      </c>
      <c r="N34" s="21">
        <v>45572</v>
      </c>
      <c r="O34" s="4"/>
      <c r="P34" s="4"/>
      <c r="Q34" s="4"/>
    </row>
    <row r="35" spans="2:17" ht="34.5" customHeight="1" x14ac:dyDescent="0.25">
      <c r="B35" s="8">
        <v>28</v>
      </c>
      <c r="C35" s="8" t="s">
        <v>272</v>
      </c>
      <c r="D35" s="6" t="s">
        <v>149</v>
      </c>
      <c r="E35" s="6" t="s">
        <v>28</v>
      </c>
      <c r="F35" s="6" t="s">
        <v>139</v>
      </c>
      <c r="G35" s="4"/>
      <c r="H35" s="4"/>
      <c r="I35" s="4"/>
      <c r="J35" s="4"/>
      <c r="K35" s="4"/>
      <c r="L35" s="14" t="s">
        <v>87</v>
      </c>
      <c r="M35" s="27">
        <v>46591</v>
      </c>
      <c r="N35" s="21">
        <v>45572</v>
      </c>
      <c r="O35" s="4"/>
      <c r="P35" s="4"/>
      <c r="Q35" s="4"/>
    </row>
    <row r="36" spans="2:17" ht="34.5" customHeight="1" x14ac:dyDescent="0.25">
      <c r="B36" s="8">
        <v>29</v>
      </c>
      <c r="C36" s="8" t="s">
        <v>272</v>
      </c>
      <c r="D36" s="6" t="s">
        <v>165</v>
      </c>
      <c r="E36" s="6" t="s">
        <v>18</v>
      </c>
      <c r="F36" s="6" t="s">
        <v>166</v>
      </c>
      <c r="G36" s="4"/>
      <c r="H36" s="4"/>
      <c r="I36" s="4"/>
      <c r="J36" s="4"/>
      <c r="K36" s="4"/>
      <c r="L36" s="22" t="s">
        <v>146</v>
      </c>
      <c r="M36" s="22"/>
      <c r="N36" s="21">
        <v>45645</v>
      </c>
      <c r="O36" s="4"/>
      <c r="P36" s="4"/>
      <c r="Q36" s="4"/>
    </row>
    <row r="37" spans="2:17" ht="34.5" customHeight="1" x14ac:dyDescent="0.25">
      <c r="B37" s="8">
        <v>30</v>
      </c>
      <c r="C37" s="8" t="s">
        <v>272</v>
      </c>
      <c r="D37" s="6" t="s">
        <v>162</v>
      </c>
      <c r="E37" s="6" t="s">
        <v>28</v>
      </c>
      <c r="F37" s="6" t="s">
        <v>139</v>
      </c>
      <c r="G37" s="4"/>
      <c r="H37" s="4"/>
      <c r="I37" s="4"/>
      <c r="J37" s="4"/>
      <c r="K37" s="4"/>
      <c r="L37" s="14" t="s">
        <v>90</v>
      </c>
      <c r="M37" s="27" t="s">
        <v>282</v>
      </c>
      <c r="N37" s="21">
        <v>45671</v>
      </c>
      <c r="O37" s="4" t="s">
        <v>96</v>
      </c>
      <c r="P37" s="4"/>
      <c r="Q37" s="4"/>
    </row>
    <row r="38" spans="2:17" ht="34.5" customHeight="1" x14ac:dyDescent="0.25">
      <c r="B38" s="8">
        <v>31</v>
      </c>
      <c r="C38" s="8" t="s">
        <v>272</v>
      </c>
      <c r="D38" s="6" t="s">
        <v>164</v>
      </c>
      <c r="E38" s="6" t="s">
        <v>28</v>
      </c>
      <c r="F38" s="6" t="s">
        <v>47</v>
      </c>
      <c r="G38" s="4"/>
      <c r="H38" s="4"/>
      <c r="I38" s="4"/>
      <c r="J38" s="4"/>
      <c r="K38" s="4"/>
      <c r="L38" s="14" t="s">
        <v>90</v>
      </c>
      <c r="M38" s="27">
        <v>46472</v>
      </c>
      <c r="N38" s="21">
        <v>45671</v>
      </c>
      <c r="O38" s="4"/>
      <c r="P38" s="4"/>
      <c r="Q38" s="4"/>
    </row>
    <row r="39" spans="2:17" ht="34.5" customHeight="1" x14ac:dyDescent="0.25">
      <c r="B39" s="8">
        <v>32</v>
      </c>
      <c r="C39" s="8" t="s">
        <v>272</v>
      </c>
      <c r="D39" s="6" t="s">
        <v>258</v>
      </c>
      <c r="E39" s="6" t="s">
        <v>28</v>
      </c>
      <c r="F39" s="6" t="s">
        <v>47</v>
      </c>
      <c r="G39" s="4"/>
      <c r="H39" s="4"/>
      <c r="I39" s="4"/>
      <c r="J39" s="4"/>
      <c r="K39" s="4"/>
      <c r="L39" s="14" t="s">
        <v>87</v>
      </c>
      <c r="M39" s="27">
        <v>46173</v>
      </c>
      <c r="N39" s="21">
        <v>45790</v>
      </c>
      <c r="O39" s="4"/>
      <c r="P39" s="4"/>
      <c r="Q39" s="4"/>
    </row>
    <row r="40" spans="2:17" ht="34.5" customHeight="1" x14ac:dyDescent="0.25">
      <c r="B40" s="8">
        <v>33</v>
      </c>
      <c r="C40" s="8" t="s">
        <v>272</v>
      </c>
      <c r="D40" s="6" t="s">
        <v>267</v>
      </c>
      <c r="E40" s="6" t="s">
        <v>18</v>
      </c>
      <c r="F40" s="6" t="s">
        <v>132</v>
      </c>
      <c r="G40" s="4"/>
      <c r="H40" s="4"/>
      <c r="I40" s="4"/>
      <c r="J40" s="4"/>
      <c r="K40" s="4"/>
      <c r="L40" s="24" t="s">
        <v>87</v>
      </c>
      <c r="M40" s="25">
        <v>45863</v>
      </c>
      <c r="N40" s="21">
        <v>45870</v>
      </c>
      <c r="O40" s="6" t="s">
        <v>96</v>
      </c>
      <c r="P40" s="6" t="s">
        <v>96</v>
      </c>
      <c r="Q40" s="4"/>
    </row>
    <row r="41" spans="2:17" ht="34.5" customHeight="1" x14ac:dyDescent="0.25">
      <c r="B41" s="8">
        <v>34</v>
      </c>
      <c r="C41" s="8" t="s">
        <v>272</v>
      </c>
      <c r="D41" s="6" t="s">
        <v>268</v>
      </c>
      <c r="E41" s="6" t="s">
        <v>18</v>
      </c>
      <c r="F41" s="6" t="s">
        <v>132</v>
      </c>
      <c r="G41" s="2"/>
      <c r="H41" s="4"/>
      <c r="I41" s="2"/>
      <c r="J41" s="2"/>
      <c r="K41" s="2"/>
      <c r="L41" s="14" t="s">
        <v>87</v>
      </c>
      <c r="M41" s="27">
        <v>46568</v>
      </c>
      <c r="N41" s="21">
        <v>45908</v>
      </c>
      <c r="O41" s="4"/>
      <c r="P41" s="4"/>
      <c r="Q41" s="4"/>
    </row>
    <row r="42" spans="2:17" ht="34.5" customHeight="1" x14ac:dyDescent="0.25">
      <c r="B42" s="8">
        <v>35</v>
      </c>
      <c r="C42" s="8" t="s">
        <v>272</v>
      </c>
      <c r="D42" s="6" t="s">
        <v>128</v>
      </c>
      <c r="E42" s="6" t="s">
        <v>18</v>
      </c>
      <c r="F42" s="6" t="s">
        <v>33</v>
      </c>
      <c r="G42" s="2"/>
      <c r="H42" s="4"/>
      <c r="I42" s="2"/>
      <c r="J42" s="2"/>
      <c r="K42" s="2"/>
      <c r="L42" s="6" t="s">
        <v>129</v>
      </c>
      <c r="M42" s="6"/>
      <c r="N42" s="21">
        <v>45376</v>
      </c>
      <c r="O42" s="4"/>
      <c r="P42" s="4"/>
      <c r="Q42" s="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3DA0-099F-43EC-BC21-75667A7C542E}">
  <sheetPr>
    <tabColor rgb="FF00B050"/>
  </sheetPr>
  <dimension ref="B1:Q14"/>
  <sheetViews>
    <sheetView zoomScale="60" zoomScaleNormal="60" workbookViewId="0">
      <selection activeCell="B17" sqref="B17"/>
    </sheetView>
  </sheetViews>
  <sheetFormatPr defaultRowHeight="15" x14ac:dyDescent="0.25"/>
  <cols>
    <col min="1" max="1" width="5.140625" customWidth="1"/>
    <col min="2" max="2" width="10" style="10" customWidth="1"/>
    <col min="3" max="3" width="9.42578125" style="10" customWidth="1"/>
    <col min="4" max="4" width="45" style="7" customWidth="1"/>
    <col min="5" max="5" width="26.140625" style="7" customWidth="1"/>
    <col min="6" max="6" width="65.140625" style="7" customWidth="1"/>
    <col min="7" max="7" width="31.28515625" hidden="1" customWidth="1"/>
    <col min="8" max="8" width="27.28515625" style="5" hidden="1" customWidth="1"/>
    <col min="9" max="9" width="41.140625" hidden="1" customWidth="1"/>
    <col min="10" max="10" width="19.140625" hidden="1" customWidth="1"/>
    <col min="11" max="11" width="13.85546875" hidden="1" customWidth="1"/>
    <col min="12" max="12" width="55" style="5" customWidth="1"/>
    <col min="13" max="13" width="26.28515625" style="5" customWidth="1"/>
    <col min="14" max="14" width="21.28515625" style="5" customWidth="1"/>
    <col min="15" max="15" width="18.5703125" style="5" customWidth="1"/>
    <col min="16" max="16" width="18.85546875" style="5" customWidth="1"/>
    <col min="17" max="17" width="23.42578125" style="5" customWidth="1"/>
  </cols>
  <sheetData>
    <row r="1" spans="2:17" ht="33.75" customHeight="1" x14ac:dyDescent="0.25">
      <c r="D1" s="18" t="s">
        <v>290</v>
      </c>
    </row>
    <row r="2" spans="2:17" x14ac:dyDescent="0.25">
      <c r="L2" s="15" t="s">
        <v>98</v>
      </c>
    </row>
    <row r="3" spans="2:17" x14ac:dyDescent="0.25">
      <c r="L3" s="16" t="s">
        <v>99</v>
      </c>
    </row>
    <row r="4" spans="2:17" x14ac:dyDescent="0.25">
      <c r="L4" s="19" t="s">
        <v>100</v>
      </c>
    </row>
    <row r="5" spans="2:17" x14ac:dyDescent="0.25">
      <c r="L5" s="26" t="s">
        <v>274</v>
      </c>
    </row>
    <row r="7" spans="2:17" ht="47.45" customHeight="1" x14ac:dyDescent="0.25">
      <c r="B7" s="3" t="s">
        <v>270</v>
      </c>
      <c r="C7" s="3" t="s">
        <v>1</v>
      </c>
      <c r="D7" s="3" t="s">
        <v>0</v>
      </c>
      <c r="E7" s="3" t="s">
        <v>1</v>
      </c>
      <c r="F7" s="3" t="s">
        <v>2</v>
      </c>
      <c r="G7" s="3" t="s">
        <v>3</v>
      </c>
      <c r="H7" s="3" t="s">
        <v>5</v>
      </c>
      <c r="I7" s="3" t="s">
        <v>4</v>
      </c>
      <c r="J7" s="3" t="s">
        <v>21</v>
      </c>
      <c r="K7" s="3" t="s">
        <v>22</v>
      </c>
      <c r="L7" s="3" t="s">
        <v>86</v>
      </c>
      <c r="M7" s="3" t="s">
        <v>269</v>
      </c>
      <c r="N7" s="3" t="s">
        <v>127</v>
      </c>
      <c r="O7" s="3" t="s">
        <v>93</v>
      </c>
      <c r="P7" s="3" t="s">
        <v>94</v>
      </c>
      <c r="Q7" s="3" t="s">
        <v>95</v>
      </c>
    </row>
    <row r="8" spans="2:17" ht="34.5" customHeight="1" x14ac:dyDescent="0.25">
      <c r="B8" s="8">
        <v>1</v>
      </c>
      <c r="C8" s="8" t="s">
        <v>275</v>
      </c>
      <c r="D8" s="6" t="s">
        <v>61</v>
      </c>
      <c r="E8" s="6" t="s">
        <v>18</v>
      </c>
      <c r="F8" s="13" t="s">
        <v>33</v>
      </c>
      <c r="G8" s="2"/>
      <c r="H8" s="4"/>
      <c r="I8" s="2"/>
      <c r="J8" s="2"/>
      <c r="K8" s="2"/>
      <c r="L8" s="14" t="s">
        <v>87</v>
      </c>
      <c r="M8" s="27">
        <v>46130</v>
      </c>
      <c r="N8" s="6"/>
      <c r="O8" s="4"/>
      <c r="P8" s="4"/>
      <c r="Q8" s="4"/>
    </row>
    <row r="9" spans="2:17" ht="34.5" customHeight="1" x14ac:dyDescent="0.25">
      <c r="B9" s="8">
        <v>2</v>
      </c>
      <c r="C9" s="8" t="s">
        <v>275</v>
      </c>
      <c r="D9" s="6" t="s">
        <v>62</v>
      </c>
      <c r="E9" s="6" t="s">
        <v>28</v>
      </c>
      <c r="F9" s="13" t="s">
        <v>33</v>
      </c>
      <c r="G9" s="2"/>
      <c r="H9" s="4"/>
      <c r="I9" s="2"/>
      <c r="J9" s="2"/>
      <c r="K9" s="2"/>
      <c r="L9" s="14" t="s">
        <v>87</v>
      </c>
      <c r="M9" s="27">
        <v>46549</v>
      </c>
      <c r="N9" s="6"/>
      <c r="O9" s="4" t="s">
        <v>96</v>
      </c>
      <c r="P9" s="4"/>
      <c r="Q9" s="4"/>
    </row>
    <row r="10" spans="2:17" ht="34.5" customHeight="1" x14ac:dyDescent="0.25">
      <c r="B10" s="8">
        <v>3</v>
      </c>
      <c r="C10" s="8" t="s">
        <v>275</v>
      </c>
      <c r="D10" s="6" t="s">
        <v>110</v>
      </c>
      <c r="E10" s="6" t="s">
        <v>18</v>
      </c>
      <c r="F10" s="6" t="s">
        <v>33</v>
      </c>
      <c r="G10" s="2"/>
      <c r="H10" s="4"/>
      <c r="I10" s="2"/>
      <c r="J10" s="2"/>
      <c r="K10" s="2"/>
      <c r="L10" s="14" t="s">
        <v>87</v>
      </c>
      <c r="M10" s="27">
        <v>46132</v>
      </c>
      <c r="N10" s="6"/>
      <c r="O10" s="4"/>
      <c r="P10" s="4"/>
      <c r="Q10" s="4"/>
    </row>
    <row r="11" spans="2:17" ht="34.5" customHeight="1" x14ac:dyDescent="0.25">
      <c r="B11" s="8">
        <v>4</v>
      </c>
      <c r="C11" s="8" t="s">
        <v>275</v>
      </c>
      <c r="D11" s="6" t="s">
        <v>148</v>
      </c>
      <c r="E11" s="6" t="s">
        <v>18</v>
      </c>
      <c r="F11" s="6" t="s">
        <v>279</v>
      </c>
      <c r="G11" s="4"/>
      <c r="H11" s="4"/>
      <c r="I11" s="4"/>
      <c r="J11" s="4"/>
      <c r="K11" s="4"/>
      <c r="L11" s="14" t="s">
        <v>87</v>
      </c>
      <c r="M11" s="27">
        <v>46960</v>
      </c>
      <c r="N11" s="21">
        <v>45583</v>
      </c>
      <c r="O11" s="4"/>
      <c r="P11" s="4"/>
      <c r="Q11" s="4"/>
    </row>
    <row r="12" spans="2:17" ht="34.5" customHeight="1" x14ac:dyDescent="0.25">
      <c r="B12" s="8">
        <v>5</v>
      </c>
      <c r="C12" s="8" t="s">
        <v>275</v>
      </c>
      <c r="D12" s="8" t="s">
        <v>97</v>
      </c>
      <c r="E12" s="6" t="s">
        <v>18</v>
      </c>
      <c r="F12" s="6" t="s">
        <v>32</v>
      </c>
      <c r="G12" s="2"/>
      <c r="H12" s="4"/>
      <c r="I12" s="2"/>
      <c r="J12" s="2"/>
      <c r="K12" s="2"/>
      <c r="L12" s="20" t="s">
        <v>102</v>
      </c>
      <c r="M12" s="20"/>
      <c r="N12" s="6"/>
      <c r="O12" s="4"/>
      <c r="P12" s="4"/>
      <c r="Q12" s="4"/>
    </row>
    <row r="13" spans="2:17" ht="34.5" customHeight="1" x14ac:dyDescent="0.25">
      <c r="B13" s="8">
        <v>6</v>
      </c>
      <c r="C13" s="8" t="s">
        <v>275</v>
      </c>
      <c r="D13" s="8" t="s">
        <v>112</v>
      </c>
      <c r="E13" s="6" t="s">
        <v>28</v>
      </c>
      <c r="F13" s="6" t="s">
        <v>113</v>
      </c>
      <c r="G13" s="2"/>
      <c r="H13" s="4"/>
      <c r="I13" s="2"/>
      <c r="J13" s="2"/>
      <c r="K13" s="2"/>
      <c r="L13" s="14" t="s">
        <v>87</v>
      </c>
      <c r="M13" s="27">
        <v>46488</v>
      </c>
      <c r="N13" s="21">
        <v>45385</v>
      </c>
      <c r="O13" s="4"/>
      <c r="P13" s="4"/>
      <c r="Q13" s="4"/>
    </row>
    <row r="14" spans="2:17" ht="34.5" customHeight="1" x14ac:dyDescent="0.25">
      <c r="B14" s="8">
        <v>7</v>
      </c>
      <c r="C14" s="8" t="s">
        <v>275</v>
      </c>
      <c r="D14" s="8" t="s">
        <v>121</v>
      </c>
      <c r="E14" s="6" t="s">
        <v>18</v>
      </c>
      <c r="F14" s="6" t="s">
        <v>33</v>
      </c>
      <c r="G14" s="2"/>
      <c r="H14" s="4"/>
      <c r="I14" s="2"/>
      <c r="J14" s="2"/>
      <c r="K14" s="2"/>
      <c r="L14" s="14" t="s">
        <v>87</v>
      </c>
      <c r="M14" s="27">
        <v>46434</v>
      </c>
      <c r="N14" s="21">
        <v>45394</v>
      </c>
      <c r="O14" s="4"/>
      <c r="P14" s="4"/>
      <c r="Q14" s="4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79D3-0EAC-4349-BE8C-CB0672909133}">
  <sheetPr>
    <tabColor rgb="FF7030A0"/>
  </sheetPr>
  <dimension ref="B1:Q52"/>
  <sheetViews>
    <sheetView topLeftCell="A37" zoomScale="60" zoomScaleNormal="60" workbookViewId="0">
      <selection activeCell="D57" sqref="D57"/>
    </sheetView>
  </sheetViews>
  <sheetFormatPr defaultRowHeight="15" x14ac:dyDescent="0.25"/>
  <cols>
    <col min="1" max="1" width="5.140625" customWidth="1"/>
    <col min="2" max="2" width="10" style="10" customWidth="1"/>
    <col min="3" max="3" width="17.85546875" style="10" bestFit="1" customWidth="1"/>
    <col min="4" max="4" width="63.140625" style="7" customWidth="1"/>
    <col min="5" max="5" width="46.7109375" style="7" bestFit="1" customWidth="1"/>
    <col min="6" max="6" width="65.140625" style="7" customWidth="1"/>
    <col min="7" max="7" width="31.28515625" hidden="1" customWidth="1"/>
    <col min="8" max="8" width="27.28515625" style="5" hidden="1" customWidth="1"/>
    <col min="9" max="9" width="41.140625" hidden="1" customWidth="1"/>
    <col min="10" max="10" width="19.140625" hidden="1" customWidth="1"/>
    <col min="11" max="11" width="13.85546875" hidden="1" customWidth="1"/>
    <col min="12" max="12" width="55" style="5" customWidth="1"/>
    <col min="13" max="13" width="26.28515625" style="5" customWidth="1"/>
    <col min="14" max="14" width="21.28515625" style="5" customWidth="1"/>
    <col min="15" max="15" width="18.5703125" style="5" customWidth="1"/>
    <col min="16" max="16" width="18.85546875" style="5" customWidth="1"/>
    <col min="17" max="17" width="23.42578125" style="5" customWidth="1"/>
  </cols>
  <sheetData>
    <row r="1" spans="2:17" ht="33.75" customHeight="1" x14ac:dyDescent="0.25">
      <c r="D1" s="18" t="s">
        <v>291</v>
      </c>
    </row>
    <row r="2" spans="2:17" x14ac:dyDescent="0.25">
      <c r="L2" s="15" t="s">
        <v>98</v>
      </c>
    </row>
    <row r="3" spans="2:17" x14ac:dyDescent="0.25">
      <c r="L3" s="16" t="s">
        <v>99</v>
      </c>
    </row>
    <row r="4" spans="2:17" x14ac:dyDescent="0.25">
      <c r="L4" s="19" t="s">
        <v>100</v>
      </c>
    </row>
    <row r="5" spans="2:17" x14ac:dyDescent="0.25">
      <c r="L5" s="26" t="s">
        <v>274</v>
      </c>
    </row>
    <row r="7" spans="2:17" ht="47.45" customHeight="1" x14ac:dyDescent="0.25">
      <c r="B7" s="3" t="s">
        <v>270</v>
      </c>
      <c r="C7" s="3" t="s">
        <v>1</v>
      </c>
      <c r="D7" s="3" t="s">
        <v>0</v>
      </c>
      <c r="E7" s="3" t="s">
        <v>1</v>
      </c>
      <c r="F7" s="3" t="s">
        <v>2</v>
      </c>
      <c r="G7" s="3" t="s">
        <v>3</v>
      </c>
      <c r="H7" s="3" t="s">
        <v>5</v>
      </c>
      <c r="I7" s="3" t="s">
        <v>4</v>
      </c>
      <c r="J7" s="3" t="s">
        <v>21</v>
      </c>
      <c r="K7" s="3" t="s">
        <v>22</v>
      </c>
      <c r="L7" s="3" t="s">
        <v>86</v>
      </c>
      <c r="M7" s="3" t="s">
        <v>269</v>
      </c>
      <c r="N7" s="3" t="s">
        <v>127</v>
      </c>
      <c r="O7" s="3" t="s">
        <v>93</v>
      </c>
      <c r="P7" s="3" t="s">
        <v>94</v>
      </c>
      <c r="Q7" s="3" t="s">
        <v>95</v>
      </c>
    </row>
    <row r="8" spans="2:17" ht="34.5" customHeight="1" x14ac:dyDescent="0.25">
      <c r="B8" s="8">
        <v>1</v>
      </c>
      <c r="C8" s="8" t="s">
        <v>273</v>
      </c>
      <c r="D8" s="13" t="s">
        <v>23</v>
      </c>
      <c r="E8" s="13" t="s">
        <v>18</v>
      </c>
      <c r="F8" s="13" t="s">
        <v>33</v>
      </c>
      <c r="G8" s="1"/>
      <c r="H8" s="1"/>
      <c r="I8" s="2"/>
      <c r="J8" s="2"/>
      <c r="K8" s="2"/>
      <c r="L8" s="14" t="s">
        <v>89</v>
      </c>
      <c r="M8" s="27">
        <v>47004</v>
      </c>
      <c r="N8" s="6"/>
      <c r="O8" s="4"/>
      <c r="P8" s="4"/>
      <c r="Q8" s="4"/>
    </row>
    <row r="9" spans="2:17" ht="34.5" customHeight="1" x14ac:dyDescent="0.25">
      <c r="B9" s="8">
        <v>2</v>
      </c>
      <c r="C9" s="8" t="s">
        <v>273</v>
      </c>
      <c r="D9" s="6" t="s">
        <v>24</v>
      </c>
      <c r="E9" s="6" t="s">
        <v>18</v>
      </c>
      <c r="F9" s="13" t="s">
        <v>33</v>
      </c>
      <c r="G9" s="2"/>
      <c r="H9" s="4"/>
      <c r="I9" s="2"/>
      <c r="J9" s="2"/>
      <c r="K9" s="2"/>
      <c r="L9" s="14" t="s">
        <v>87</v>
      </c>
      <c r="M9" s="27">
        <v>46118</v>
      </c>
      <c r="N9" s="6"/>
      <c r="O9" s="4"/>
      <c r="P9" s="4"/>
      <c r="Q9" s="4"/>
    </row>
    <row r="10" spans="2:17" ht="34.5" customHeight="1" x14ac:dyDescent="0.25">
      <c r="B10" s="8">
        <v>3</v>
      </c>
      <c r="C10" s="8" t="s">
        <v>273</v>
      </c>
      <c r="D10" s="6" t="s">
        <v>58</v>
      </c>
      <c r="E10" s="6" t="s">
        <v>18</v>
      </c>
      <c r="F10" s="13" t="s">
        <v>33</v>
      </c>
      <c r="G10" s="2"/>
      <c r="H10" s="4"/>
      <c r="I10" s="2"/>
      <c r="J10" s="2"/>
      <c r="K10" s="2"/>
      <c r="L10" s="14" t="s">
        <v>87</v>
      </c>
      <c r="M10" s="27">
        <v>46682</v>
      </c>
      <c r="N10" s="6"/>
      <c r="O10" s="4"/>
      <c r="P10" s="4"/>
      <c r="Q10" s="4"/>
    </row>
    <row r="11" spans="2:17" ht="34.5" customHeight="1" x14ac:dyDescent="0.25">
      <c r="B11" s="8">
        <v>4</v>
      </c>
      <c r="C11" s="8" t="s">
        <v>273</v>
      </c>
      <c r="D11" s="6" t="s">
        <v>63</v>
      </c>
      <c r="E11" s="13" t="s">
        <v>20</v>
      </c>
      <c r="F11" s="13" t="s">
        <v>33</v>
      </c>
      <c r="G11" s="2"/>
      <c r="H11" s="4"/>
      <c r="I11" s="2"/>
      <c r="J11" s="2"/>
      <c r="K11" s="2"/>
      <c r="L11" s="14" t="s">
        <v>87</v>
      </c>
      <c r="M11" s="27">
        <v>46735</v>
      </c>
      <c r="N11" s="6"/>
      <c r="O11" s="4"/>
      <c r="P11" s="4"/>
      <c r="Q11" s="4"/>
    </row>
    <row r="12" spans="2:17" ht="34.5" customHeight="1" x14ac:dyDescent="0.25">
      <c r="B12" s="8">
        <v>5</v>
      </c>
      <c r="C12" s="8" t="s">
        <v>273</v>
      </c>
      <c r="D12" s="6" t="s">
        <v>60</v>
      </c>
      <c r="E12" s="6" t="s">
        <v>28</v>
      </c>
      <c r="F12" s="6" t="s">
        <v>31</v>
      </c>
      <c r="G12" s="2"/>
      <c r="H12" s="4"/>
      <c r="I12" s="2"/>
      <c r="J12" s="2"/>
      <c r="K12" s="2"/>
      <c r="L12" s="14" t="s">
        <v>87</v>
      </c>
      <c r="M12" s="27">
        <v>46181</v>
      </c>
      <c r="N12" s="6"/>
      <c r="O12" s="4"/>
      <c r="P12" s="4"/>
      <c r="Q12" s="4"/>
    </row>
    <row r="13" spans="2:17" ht="34.5" customHeight="1" x14ac:dyDescent="0.25">
      <c r="B13" s="8">
        <v>6</v>
      </c>
      <c r="C13" s="8" t="s">
        <v>273</v>
      </c>
      <c r="D13" s="6" t="s">
        <v>64</v>
      </c>
      <c r="E13" s="6" t="s">
        <v>18</v>
      </c>
      <c r="F13" s="13" t="s">
        <v>29</v>
      </c>
      <c r="G13" s="2"/>
      <c r="H13" s="4"/>
      <c r="I13" s="2"/>
      <c r="J13" s="2"/>
      <c r="K13" s="2"/>
      <c r="L13" s="14" t="s">
        <v>87</v>
      </c>
      <c r="M13" s="27">
        <v>46771</v>
      </c>
      <c r="N13" s="6"/>
      <c r="O13" s="4"/>
      <c r="P13" s="4"/>
      <c r="Q13" s="4"/>
    </row>
    <row r="14" spans="2:17" ht="34.5" customHeight="1" x14ac:dyDescent="0.25">
      <c r="B14" s="8">
        <v>7</v>
      </c>
      <c r="C14" s="8" t="s">
        <v>273</v>
      </c>
      <c r="D14" s="6" t="s">
        <v>70</v>
      </c>
      <c r="E14" s="13" t="s">
        <v>20</v>
      </c>
      <c r="F14" s="13" t="s">
        <v>33</v>
      </c>
      <c r="G14" s="2"/>
      <c r="H14" s="4"/>
      <c r="I14" s="2"/>
      <c r="J14" s="2"/>
      <c r="K14" s="2"/>
      <c r="L14" s="14" t="s">
        <v>91</v>
      </c>
      <c r="M14" s="27">
        <v>46550</v>
      </c>
      <c r="N14" s="6"/>
      <c r="O14" s="4"/>
      <c r="P14" s="4"/>
      <c r="Q14" s="4"/>
    </row>
    <row r="15" spans="2:17" ht="34.5" customHeight="1" x14ac:dyDescent="0.25">
      <c r="B15" s="8">
        <v>8</v>
      </c>
      <c r="C15" s="8" t="s">
        <v>273</v>
      </c>
      <c r="D15" s="6" t="s">
        <v>40</v>
      </c>
      <c r="E15" s="6" t="s">
        <v>43</v>
      </c>
      <c r="F15" s="6" t="s">
        <v>44</v>
      </c>
      <c r="G15" s="2"/>
      <c r="H15" s="4"/>
      <c r="I15" s="2"/>
      <c r="J15" s="2"/>
      <c r="K15" s="2"/>
      <c r="L15" s="14" t="s">
        <v>87</v>
      </c>
      <c r="M15" s="27">
        <v>46641</v>
      </c>
      <c r="N15" s="6"/>
      <c r="O15" s="4"/>
      <c r="P15" s="4"/>
      <c r="Q15" s="4"/>
    </row>
    <row r="16" spans="2:17" ht="34.5" customHeight="1" x14ac:dyDescent="0.25">
      <c r="B16" s="8">
        <v>9</v>
      </c>
      <c r="C16" s="8" t="s">
        <v>273</v>
      </c>
      <c r="D16" s="6" t="s">
        <v>80</v>
      </c>
      <c r="E16" s="6" t="s">
        <v>18</v>
      </c>
      <c r="F16" s="6" t="s">
        <v>30</v>
      </c>
      <c r="G16" s="2"/>
      <c r="H16" s="4"/>
      <c r="I16" s="2"/>
      <c r="J16" s="2"/>
      <c r="K16" s="2"/>
      <c r="L16" s="14" t="s">
        <v>87</v>
      </c>
      <c r="M16" s="27">
        <v>46741</v>
      </c>
      <c r="N16" s="6"/>
      <c r="O16" s="4"/>
      <c r="P16" s="4"/>
      <c r="Q16" s="4"/>
    </row>
    <row r="17" spans="2:17" ht="34.5" customHeight="1" x14ac:dyDescent="0.25">
      <c r="B17" s="8">
        <v>10</v>
      </c>
      <c r="C17" s="8" t="s">
        <v>273</v>
      </c>
      <c r="D17" s="6" t="s">
        <v>84</v>
      </c>
      <c r="E17" s="6" t="s">
        <v>18</v>
      </c>
      <c r="F17" s="6" t="s">
        <v>33</v>
      </c>
      <c r="G17" s="2"/>
      <c r="H17" s="4"/>
      <c r="I17" s="2"/>
      <c r="J17" s="2"/>
      <c r="K17" s="2"/>
      <c r="L17" s="14" t="s">
        <v>87</v>
      </c>
      <c r="M17" s="27">
        <v>46538</v>
      </c>
      <c r="N17" s="6"/>
      <c r="O17" s="4"/>
      <c r="P17" s="4"/>
      <c r="Q17" s="4"/>
    </row>
    <row r="18" spans="2:17" ht="34.5" customHeight="1" x14ac:dyDescent="0.25">
      <c r="B18" s="8">
        <v>11</v>
      </c>
      <c r="C18" s="8" t="s">
        <v>273</v>
      </c>
      <c r="D18" s="6" t="s">
        <v>115</v>
      </c>
      <c r="E18" s="6" t="s">
        <v>18</v>
      </c>
      <c r="F18" s="6" t="s">
        <v>114</v>
      </c>
      <c r="G18" s="2"/>
      <c r="H18" s="4"/>
      <c r="I18" s="2"/>
      <c r="J18" s="2"/>
      <c r="K18" s="2"/>
      <c r="L18" s="14" t="s">
        <v>91</v>
      </c>
      <c r="M18" s="27">
        <v>46160</v>
      </c>
      <c r="N18" s="21">
        <v>45369</v>
      </c>
      <c r="O18" s="6" t="s">
        <v>96</v>
      </c>
      <c r="P18" s="6" t="s">
        <v>96</v>
      </c>
      <c r="Q18" s="4"/>
    </row>
    <row r="19" spans="2:17" ht="34.5" customHeight="1" x14ac:dyDescent="0.25">
      <c r="B19" s="8">
        <v>12</v>
      </c>
      <c r="C19" s="8" t="s">
        <v>273</v>
      </c>
      <c r="D19" s="6" t="s">
        <v>125</v>
      </c>
      <c r="E19" s="6" t="s">
        <v>28</v>
      </c>
      <c r="F19" s="6" t="s">
        <v>33</v>
      </c>
      <c r="G19" s="2"/>
      <c r="H19" s="4"/>
      <c r="I19" s="2"/>
      <c r="J19" s="2"/>
      <c r="K19" s="2"/>
      <c r="L19" s="24" t="s">
        <v>87</v>
      </c>
      <c r="M19" s="25">
        <v>45683</v>
      </c>
      <c r="N19" s="21">
        <v>45399</v>
      </c>
      <c r="O19" s="4"/>
      <c r="P19" s="4"/>
      <c r="Q19" s="4"/>
    </row>
    <row r="20" spans="2:17" ht="34.5" customHeight="1" x14ac:dyDescent="0.25">
      <c r="B20" s="8">
        <v>13</v>
      </c>
      <c r="C20" s="8" t="s">
        <v>273</v>
      </c>
      <c r="D20" s="6" t="s">
        <v>133</v>
      </c>
      <c r="E20" s="6" t="s">
        <v>18</v>
      </c>
      <c r="F20" s="6" t="s">
        <v>132</v>
      </c>
      <c r="G20" s="2"/>
      <c r="H20" s="4"/>
      <c r="I20" s="2"/>
      <c r="J20" s="2"/>
      <c r="K20" s="2"/>
      <c r="L20" s="6" t="s">
        <v>129</v>
      </c>
      <c r="M20" s="6"/>
      <c r="N20" s="21">
        <v>45421</v>
      </c>
      <c r="O20" s="6" t="s">
        <v>96</v>
      </c>
      <c r="P20" s="6" t="s">
        <v>96</v>
      </c>
      <c r="Q20" s="4"/>
    </row>
    <row r="21" spans="2:17" ht="34.5" customHeight="1" x14ac:dyDescent="0.25">
      <c r="B21" s="8">
        <v>14</v>
      </c>
      <c r="C21" s="8" t="s">
        <v>273</v>
      </c>
      <c r="D21" s="6" t="s">
        <v>131</v>
      </c>
      <c r="E21" s="6" t="s">
        <v>18</v>
      </c>
      <c r="F21" s="6" t="s">
        <v>132</v>
      </c>
      <c r="G21" s="4"/>
      <c r="H21" s="4"/>
      <c r="I21" s="4"/>
      <c r="J21" s="4"/>
      <c r="K21" s="4"/>
      <c r="L21" s="6" t="s">
        <v>129</v>
      </c>
      <c r="M21" s="6"/>
      <c r="N21" s="21">
        <v>45433</v>
      </c>
      <c r="O21" s="6" t="s">
        <v>96</v>
      </c>
      <c r="P21" s="6" t="s">
        <v>96</v>
      </c>
      <c r="Q21" s="4"/>
    </row>
    <row r="22" spans="2:17" ht="34.5" customHeight="1" x14ac:dyDescent="0.25">
      <c r="B22" s="8">
        <v>15</v>
      </c>
      <c r="C22" s="8" t="s">
        <v>273</v>
      </c>
      <c r="D22" s="6" t="s">
        <v>140</v>
      </c>
      <c r="E22" s="6" t="s">
        <v>18</v>
      </c>
      <c r="F22" s="6" t="s">
        <v>33</v>
      </c>
      <c r="G22" s="4"/>
      <c r="H22" s="4"/>
      <c r="I22" s="4"/>
      <c r="J22" s="4"/>
      <c r="K22" s="4"/>
      <c r="L22" s="14" t="s">
        <v>87</v>
      </c>
      <c r="M22" s="27">
        <v>46103</v>
      </c>
      <c r="N22" s="21">
        <v>45482</v>
      </c>
      <c r="O22" s="4"/>
      <c r="P22" s="4"/>
      <c r="Q22" s="4"/>
    </row>
    <row r="23" spans="2:17" ht="34.5" customHeight="1" x14ac:dyDescent="0.25">
      <c r="B23" s="8">
        <v>16</v>
      </c>
      <c r="C23" s="8" t="s">
        <v>273</v>
      </c>
      <c r="D23" s="6" t="s">
        <v>134</v>
      </c>
      <c r="E23" s="6" t="s">
        <v>18</v>
      </c>
      <c r="F23" s="6" t="s">
        <v>33</v>
      </c>
      <c r="G23" s="4"/>
      <c r="H23" s="4"/>
      <c r="I23" s="4"/>
      <c r="J23" s="4"/>
      <c r="K23" s="4"/>
      <c r="L23" s="22" t="s">
        <v>146</v>
      </c>
      <c r="M23" s="22"/>
      <c r="N23" s="21">
        <v>45489</v>
      </c>
      <c r="O23" s="4"/>
      <c r="P23" s="4"/>
      <c r="Q23" s="4"/>
    </row>
    <row r="24" spans="2:17" ht="34.5" customHeight="1" x14ac:dyDescent="0.25">
      <c r="B24" s="8">
        <v>17</v>
      </c>
      <c r="C24" s="8" t="s">
        <v>273</v>
      </c>
      <c r="D24" s="6" t="s">
        <v>135</v>
      </c>
      <c r="E24" s="6" t="s">
        <v>18</v>
      </c>
      <c r="F24" s="6" t="s">
        <v>33</v>
      </c>
      <c r="G24" s="4"/>
      <c r="H24" s="4"/>
      <c r="I24" s="4"/>
      <c r="J24" s="4"/>
      <c r="K24" s="4"/>
      <c r="L24" s="14" t="s">
        <v>87</v>
      </c>
      <c r="M24" s="27">
        <v>46809</v>
      </c>
      <c r="N24" s="21">
        <v>45489</v>
      </c>
      <c r="O24" s="6" t="s">
        <v>96</v>
      </c>
      <c r="P24" s="6" t="s">
        <v>96</v>
      </c>
      <c r="Q24" s="4"/>
    </row>
    <row r="25" spans="2:17" ht="34.5" customHeight="1" x14ac:dyDescent="0.25">
      <c r="B25" s="8">
        <v>18</v>
      </c>
      <c r="C25" s="8" t="s">
        <v>273</v>
      </c>
      <c r="D25" s="6" t="s">
        <v>136</v>
      </c>
      <c r="E25" s="6" t="s">
        <v>28</v>
      </c>
      <c r="F25" s="6" t="s">
        <v>138</v>
      </c>
      <c r="G25" s="4"/>
      <c r="H25" s="4"/>
      <c r="I25" s="4"/>
      <c r="J25" s="4"/>
      <c r="K25" s="4"/>
      <c r="L25" s="22" t="s">
        <v>146</v>
      </c>
      <c r="M25" s="22"/>
      <c r="N25" s="21">
        <v>45502</v>
      </c>
      <c r="O25" s="4"/>
      <c r="P25" s="4"/>
      <c r="Q25" s="4"/>
    </row>
    <row r="26" spans="2:17" ht="34.5" customHeight="1" x14ac:dyDescent="0.25">
      <c r="B26" s="8">
        <v>19</v>
      </c>
      <c r="C26" s="8" t="s">
        <v>273</v>
      </c>
      <c r="D26" s="6" t="s">
        <v>158</v>
      </c>
      <c r="E26" s="6" t="s">
        <v>18</v>
      </c>
      <c r="F26" s="6" t="s">
        <v>33</v>
      </c>
      <c r="G26" s="4"/>
      <c r="H26" s="4"/>
      <c r="I26" s="4"/>
      <c r="J26" s="4"/>
      <c r="K26" s="4"/>
      <c r="L26" s="22" t="s">
        <v>146</v>
      </c>
      <c r="M26" s="22"/>
      <c r="N26" s="21">
        <v>45582</v>
      </c>
      <c r="O26" s="4"/>
      <c r="P26" s="4"/>
      <c r="Q26" s="4"/>
    </row>
    <row r="27" spans="2:17" ht="34.5" customHeight="1" x14ac:dyDescent="0.25">
      <c r="B27" s="8">
        <v>20</v>
      </c>
      <c r="C27" s="8" t="s">
        <v>273</v>
      </c>
      <c r="D27" s="6" t="s">
        <v>155</v>
      </c>
      <c r="E27" s="6" t="s">
        <v>18</v>
      </c>
      <c r="F27" s="6" t="s">
        <v>156</v>
      </c>
      <c r="G27" s="4"/>
      <c r="H27" s="4"/>
      <c r="I27" s="4"/>
      <c r="J27" s="4"/>
      <c r="K27" s="4"/>
      <c r="L27" s="14" t="s">
        <v>87</v>
      </c>
      <c r="M27" s="27">
        <v>46702</v>
      </c>
      <c r="N27" s="21">
        <v>45607</v>
      </c>
      <c r="O27" s="4"/>
      <c r="P27" s="4"/>
      <c r="Q27" s="4"/>
    </row>
    <row r="28" spans="2:17" ht="34.5" customHeight="1" x14ac:dyDescent="0.25">
      <c r="B28" s="8">
        <v>21</v>
      </c>
      <c r="C28" s="8" t="s">
        <v>273</v>
      </c>
      <c r="D28" s="6" t="s">
        <v>163</v>
      </c>
      <c r="E28" s="6" t="s">
        <v>28</v>
      </c>
      <c r="F28" s="6" t="s">
        <v>33</v>
      </c>
      <c r="G28" s="4"/>
      <c r="H28" s="4"/>
      <c r="I28" s="4"/>
      <c r="J28" s="4"/>
      <c r="K28" s="4"/>
      <c r="L28" s="14" t="s">
        <v>87</v>
      </c>
      <c r="M28" s="27">
        <v>46921</v>
      </c>
      <c r="N28" s="21">
        <v>45644</v>
      </c>
      <c r="O28" s="4"/>
      <c r="P28" s="4"/>
      <c r="Q28" s="4"/>
    </row>
    <row r="29" spans="2:17" ht="34.5" customHeight="1" x14ac:dyDescent="0.25">
      <c r="B29" s="8">
        <v>22</v>
      </c>
      <c r="C29" s="8" t="s">
        <v>273</v>
      </c>
      <c r="D29" s="6" t="s">
        <v>168</v>
      </c>
      <c r="E29" s="6" t="s">
        <v>18</v>
      </c>
      <c r="F29" s="6" t="s">
        <v>33</v>
      </c>
      <c r="G29" s="4"/>
      <c r="H29" s="4"/>
      <c r="I29" s="4"/>
      <c r="J29" s="4"/>
      <c r="K29" s="4"/>
      <c r="L29" s="14" t="s">
        <v>281</v>
      </c>
      <c r="M29" s="27">
        <v>46802</v>
      </c>
      <c r="N29" s="21">
        <v>45673</v>
      </c>
      <c r="O29" s="4"/>
      <c r="P29" s="4"/>
      <c r="Q29" s="4"/>
    </row>
    <row r="30" spans="2:17" ht="34.5" customHeight="1" x14ac:dyDescent="0.25">
      <c r="B30" s="8">
        <v>23</v>
      </c>
      <c r="C30" s="8" t="s">
        <v>273</v>
      </c>
      <c r="D30" s="6" t="s">
        <v>167</v>
      </c>
      <c r="E30" s="6" t="s">
        <v>18</v>
      </c>
      <c r="F30" s="6" t="s">
        <v>33</v>
      </c>
      <c r="G30" s="4"/>
      <c r="H30" s="4"/>
      <c r="I30" s="4"/>
      <c r="J30" s="4"/>
      <c r="K30" s="4"/>
      <c r="L30" s="14" t="s">
        <v>87</v>
      </c>
      <c r="M30" s="27">
        <v>45992</v>
      </c>
      <c r="N30" s="21">
        <v>45684</v>
      </c>
      <c r="O30" s="6" t="s">
        <v>96</v>
      </c>
      <c r="P30" s="6" t="s">
        <v>96</v>
      </c>
      <c r="Q30" s="4"/>
    </row>
    <row r="31" spans="2:17" ht="34.5" customHeight="1" x14ac:dyDescent="0.25">
      <c r="B31" s="8">
        <v>24</v>
      </c>
      <c r="C31" s="8" t="s">
        <v>273</v>
      </c>
      <c r="D31" s="6" t="s">
        <v>228</v>
      </c>
      <c r="E31" s="6" t="s">
        <v>45</v>
      </c>
      <c r="F31" s="6" t="s">
        <v>33</v>
      </c>
      <c r="G31" s="4"/>
      <c r="H31" s="4"/>
      <c r="I31" s="4"/>
      <c r="J31" s="4"/>
      <c r="K31" s="4"/>
      <c r="L31" s="14" t="s">
        <v>87</v>
      </c>
      <c r="M31" s="27">
        <v>46735</v>
      </c>
      <c r="N31" s="21">
        <v>45685</v>
      </c>
      <c r="O31" s="4"/>
      <c r="P31" s="4"/>
      <c r="Q31" s="4"/>
    </row>
    <row r="32" spans="2:17" ht="34.5" customHeight="1" x14ac:dyDescent="0.25">
      <c r="B32" s="8">
        <v>25</v>
      </c>
      <c r="C32" s="8" t="s">
        <v>273</v>
      </c>
      <c r="D32" s="6" t="s">
        <v>193</v>
      </c>
      <c r="E32" s="6" t="s">
        <v>28</v>
      </c>
      <c r="F32" s="6" t="s">
        <v>194</v>
      </c>
      <c r="G32" s="4"/>
      <c r="H32" s="4"/>
      <c r="I32" s="4"/>
      <c r="J32" s="4"/>
      <c r="K32" s="4"/>
      <c r="L32" s="14" t="s">
        <v>87</v>
      </c>
      <c r="M32" s="27">
        <v>46917</v>
      </c>
      <c r="N32" s="21">
        <v>45687</v>
      </c>
      <c r="O32" s="4"/>
      <c r="P32" s="4"/>
      <c r="Q32" s="4"/>
    </row>
    <row r="33" spans="2:17" ht="34.5" customHeight="1" x14ac:dyDescent="0.25">
      <c r="B33" s="8">
        <v>26</v>
      </c>
      <c r="C33" s="8" t="s">
        <v>273</v>
      </c>
      <c r="D33" s="6" t="s">
        <v>231</v>
      </c>
      <c r="E33" s="6" t="s">
        <v>18</v>
      </c>
      <c r="F33" s="6" t="s">
        <v>33</v>
      </c>
      <c r="G33" s="4"/>
      <c r="H33" s="4"/>
      <c r="I33" s="4"/>
      <c r="J33" s="4"/>
      <c r="K33" s="4"/>
      <c r="L33" s="14" t="s">
        <v>87</v>
      </c>
      <c r="M33" s="27">
        <v>46758</v>
      </c>
      <c r="N33" s="21">
        <v>45721</v>
      </c>
      <c r="O33" s="4"/>
      <c r="P33" s="4"/>
      <c r="Q33" s="4"/>
    </row>
    <row r="34" spans="2:17" ht="34.5" customHeight="1" x14ac:dyDescent="0.25">
      <c r="B34" s="8">
        <v>27</v>
      </c>
      <c r="C34" s="8" t="s">
        <v>273</v>
      </c>
      <c r="D34" s="6" t="s">
        <v>232</v>
      </c>
      <c r="E34" s="6" t="s">
        <v>18</v>
      </c>
      <c r="F34" s="6" t="s">
        <v>33</v>
      </c>
      <c r="G34" s="4"/>
      <c r="H34" s="4"/>
      <c r="I34" s="4"/>
      <c r="J34" s="4"/>
      <c r="K34" s="4"/>
      <c r="L34" s="14" t="s">
        <v>87</v>
      </c>
      <c r="M34" s="27">
        <v>46108</v>
      </c>
      <c r="N34" s="21">
        <v>45723</v>
      </c>
      <c r="O34" s="4"/>
      <c r="P34" s="4"/>
      <c r="Q34" s="4"/>
    </row>
    <row r="35" spans="2:17" ht="34.5" customHeight="1" x14ac:dyDescent="0.25">
      <c r="B35" s="8">
        <v>28</v>
      </c>
      <c r="C35" s="8" t="s">
        <v>273</v>
      </c>
      <c r="D35" s="6" t="s">
        <v>238</v>
      </c>
      <c r="E35" s="6" t="s">
        <v>18</v>
      </c>
      <c r="F35" s="6" t="s">
        <v>33</v>
      </c>
      <c r="G35" s="4"/>
      <c r="H35" s="4"/>
      <c r="I35" s="4"/>
      <c r="J35" s="4"/>
      <c r="K35" s="4"/>
      <c r="L35" s="20" t="s">
        <v>239</v>
      </c>
      <c r="M35" s="20"/>
      <c r="N35" s="21">
        <v>45729</v>
      </c>
      <c r="O35" s="4"/>
      <c r="P35" s="4"/>
      <c r="Q35" s="4"/>
    </row>
    <row r="36" spans="2:17" ht="34.5" customHeight="1" x14ac:dyDescent="0.25">
      <c r="B36" s="8">
        <v>29</v>
      </c>
      <c r="C36" s="8" t="s">
        <v>273</v>
      </c>
      <c r="D36" s="6" t="s">
        <v>257</v>
      </c>
      <c r="E36" s="6" t="s">
        <v>28</v>
      </c>
      <c r="F36" s="6"/>
      <c r="G36" s="4"/>
      <c r="H36" s="4"/>
      <c r="I36" s="4"/>
      <c r="J36" s="4"/>
      <c r="K36" s="4"/>
      <c r="L36" s="6"/>
      <c r="M36" s="6"/>
      <c r="N36" s="21">
        <v>45741</v>
      </c>
      <c r="O36" s="4"/>
      <c r="P36" s="4"/>
      <c r="Q36" s="4"/>
    </row>
    <row r="37" spans="2:17" ht="34.5" customHeight="1" x14ac:dyDescent="0.25">
      <c r="B37" s="8">
        <v>30</v>
      </c>
      <c r="C37" s="8" t="s">
        <v>273</v>
      </c>
      <c r="D37" s="6" t="s">
        <v>255</v>
      </c>
      <c r="E37" s="6" t="s">
        <v>45</v>
      </c>
      <c r="F37" s="6" t="s">
        <v>256</v>
      </c>
      <c r="G37" s="4"/>
      <c r="H37" s="4"/>
      <c r="I37" s="4"/>
      <c r="J37" s="4"/>
      <c r="K37" s="4"/>
      <c r="L37" s="14" t="s">
        <v>87</v>
      </c>
      <c r="M37" s="27">
        <v>46846</v>
      </c>
      <c r="N37" s="21">
        <v>45761</v>
      </c>
      <c r="O37" s="4"/>
      <c r="P37" s="4"/>
      <c r="Q37" s="4"/>
    </row>
    <row r="38" spans="2:17" ht="34.5" customHeight="1" x14ac:dyDescent="0.25">
      <c r="B38" s="8">
        <v>31</v>
      </c>
      <c r="C38" s="8" t="s">
        <v>273</v>
      </c>
      <c r="D38" s="6" t="s">
        <v>262</v>
      </c>
      <c r="E38" s="6" t="s">
        <v>49</v>
      </c>
      <c r="F38" s="6" t="s">
        <v>33</v>
      </c>
      <c r="G38" s="4"/>
      <c r="H38" s="4"/>
      <c r="I38" s="4"/>
      <c r="J38" s="4"/>
      <c r="K38" s="4"/>
      <c r="L38" s="14" t="s">
        <v>87</v>
      </c>
      <c r="M38" s="27">
        <v>46536</v>
      </c>
      <c r="N38" s="21">
        <v>45802</v>
      </c>
      <c r="O38" s="4"/>
      <c r="P38" s="4"/>
      <c r="Q38" s="4"/>
    </row>
    <row r="39" spans="2:17" ht="34.5" customHeight="1" x14ac:dyDescent="0.25">
      <c r="B39" s="8">
        <v>32</v>
      </c>
      <c r="C39" s="8" t="s">
        <v>273</v>
      </c>
      <c r="D39" s="6" t="s">
        <v>254</v>
      </c>
      <c r="E39" s="6" t="s">
        <v>18</v>
      </c>
      <c r="F39" s="6" t="s">
        <v>33</v>
      </c>
      <c r="G39" s="4"/>
      <c r="H39" s="4"/>
      <c r="I39" s="4"/>
      <c r="J39" s="4"/>
      <c r="K39" s="4"/>
      <c r="L39" s="14" t="s">
        <v>87</v>
      </c>
      <c r="M39" s="27">
        <v>46068</v>
      </c>
      <c r="N39" s="21">
        <v>45812</v>
      </c>
      <c r="O39" s="4"/>
      <c r="P39" s="4"/>
      <c r="Q39" s="4"/>
    </row>
    <row r="40" spans="2:17" ht="34.5" customHeight="1" x14ac:dyDescent="0.25">
      <c r="B40" s="8">
        <v>33</v>
      </c>
      <c r="C40" s="8" t="s">
        <v>273</v>
      </c>
      <c r="D40" s="6" t="s">
        <v>263</v>
      </c>
      <c r="E40" s="6" t="s">
        <v>18</v>
      </c>
      <c r="F40" s="6" t="s">
        <v>33</v>
      </c>
      <c r="G40" s="4"/>
      <c r="H40" s="4"/>
      <c r="I40" s="4"/>
      <c r="J40" s="4"/>
      <c r="K40" s="4"/>
      <c r="L40" s="14" t="s">
        <v>87</v>
      </c>
      <c r="M40" s="27">
        <v>46773</v>
      </c>
      <c r="N40" s="21">
        <v>45859</v>
      </c>
      <c r="O40" s="4"/>
      <c r="P40" s="4"/>
      <c r="Q40" s="4"/>
    </row>
    <row r="41" spans="2:17" ht="34.5" customHeight="1" x14ac:dyDescent="0.25">
      <c r="B41" s="8">
        <v>34</v>
      </c>
      <c r="C41" s="8" t="s">
        <v>273</v>
      </c>
      <c r="D41" s="6" t="s">
        <v>284</v>
      </c>
      <c r="E41" s="6" t="s">
        <v>18</v>
      </c>
      <c r="F41" s="6" t="s">
        <v>33</v>
      </c>
      <c r="G41" s="2"/>
      <c r="H41" s="4"/>
      <c r="I41" s="2"/>
      <c r="J41" s="2"/>
      <c r="K41" s="2"/>
      <c r="L41" s="14" t="s">
        <v>87</v>
      </c>
      <c r="M41" s="27">
        <v>46371</v>
      </c>
      <c r="N41" s="21">
        <v>45925</v>
      </c>
      <c r="O41" s="4"/>
      <c r="P41" s="4"/>
      <c r="Q41" s="4"/>
    </row>
    <row r="42" spans="2:17" ht="34.5" customHeight="1" x14ac:dyDescent="0.25">
      <c r="B42" s="8">
        <v>35</v>
      </c>
      <c r="C42" s="8" t="s">
        <v>273</v>
      </c>
      <c r="D42" s="6" t="s">
        <v>177</v>
      </c>
      <c r="E42" s="6" t="s">
        <v>18</v>
      </c>
      <c r="F42" s="6" t="s">
        <v>213</v>
      </c>
      <c r="G42" s="4"/>
      <c r="H42" s="2"/>
      <c r="I42" s="2"/>
      <c r="J42" s="2"/>
      <c r="K42" s="6"/>
      <c r="L42" s="6"/>
      <c r="M42" s="4"/>
      <c r="N42" s="4"/>
      <c r="O42" s="4"/>
      <c r="P42"/>
      <c r="Q42"/>
    </row>
    <row r="43" spans="2:17" ht="34.5" customHeight="1" x14ac:dyDescent="0.25">
      <c r="B43" s="8">
        <v>36</v>
      </c>
      <c r="C43" s="8" t="s">
        <v>273</v>
      </c>
      <c r="D43" s="6" t="s">
        <v>180</v>
      </c>
      <c r="E43" s="6" t="s">
        <v>28</v>
      </c>
      <c r="F43" s="6" t="s">
        <v>227</v>
      </c>
      <c r="G43" s="4"/>
      <c r="H43" s="2"/>
      <c r="I43" s="2"/>
      <c r="J43" s="2"/>
      <c r="K43" s="6"/>
      <c r="L43" s="6"/>
      <c r="M43" s="4"/>
      <c r="N43" s="4"/>
      <c r="O43" s="4"/>
      <c r="P43"/>
      <c r="Q43"/>
    </row>
    <row r="44" spans="2:17" ht="34.5" customHeight="1" x14ac:dyDescent="0.25">
      <c r="B44" s="8">
        <v>37</v>
      </c>
      <c r="C44" s="8" t="s">
        <v>273</v>
      </c>
      <c r="D44" s="6" t="s">
        <v>181</v>
      </c>
      <c r="E44" s="6" t="s">
        <v>18</v>
      </c>
      <c r="F44" s="6" t="s">
        <v>227</v>
      </c>
      <c r="G44" s="4"/>
      <c r="H44" s="2"/>
      <c r="I44" s="2"/>
      <c r="J44" s="2"/>
      <c r="K44" s="6"/>
      <c r="L44" s="6"/>
      <c r="M44" s="4"/>
      <c r="N44" s="4"/>
      <c r="O44" s="4"/>
      <c r="P44"/>
      <c r="Q44"/>
    </row>
    <row r="45" spans="2:17" ht="34.5" customHeight="1" x14ac:dyDescent="0.25">
      <c r="B45" s="8">
        <v>38</v>
      </c>
      <c r="C45" s="8" t="s">
        <v>273</v>
      </c>
      <c r="D45" s="6" t="s">
        <v>182</v>
      </c>
      <c r="E45" s="13" t="s">
        <v>201</v>
      </c>
      <c r="F45" s="13" t="s">
        <v>216</v>
      </c>
      <c r="G45" s="4"/>
      <c r="H45" s="2"/>
      <c r="I45" s="2"/>
      <c r="J45" s="2"/>
      <c r="K45" s="6"/>
      <c r="L45" s="6"/>
      <c r="M45" s="4"/>
      <c r="N45" s="4"/>
      <c r="O45" s="4"/>
      <c r="P45"/>
      <c r="Q45"/>
    </row>
    <row r="46" spans="2:17" ht="34.5" customHeight="1" x14ac:dyDescent="0.25">
      <c r="B46" s="8">
        <v>39</v>
      </c>
      <c r="C46" s="8" t="s">
        <v>273</v>
      </c>
      <c r="D46" s="6" t="s">
        <v>246</v>
      </c>
      <c r="E46" s="6" t="s">
        <v>18</v>
      </c>
      <c r="F46" s="6" t="s">
        <v>253</v>
      </c>
      <c r="G46" s="4"/>
      <c r="H46" s="2"/>
      <c r="I46" s="2"/>
      <c r="J46" s="2"/>
      <c r="K46" s="6"/>
      <c r="L46" s="6"/>
      <c r="M46" s="4" t="s">
        <v>96</v>
      </c>
      <c r="N46" s="4"/>
      <c r="O46" s="4"/>
      <c r="P46"/>
      <c r="Q46"/>
    </row>
    <row r="47" spans="2:17" ht="34.5" customHeight="1" x14ac:dyDescent="0.25">
      <c r="B47" s="8">
        <v>40</v>
      </c>
      <c r="C47" s="8" t="s">
        <v>273</v>
      </c>
      <c r="D47" s="6" t="s">
        <v>247</v>
      </c>
      <c r="E47" s="6" t="s">
        <v>18</v>
      </c>
      <c r="F47" s="6" t="s">
        <v>253</v>
      </c>
      <c r="G47" s="4"/>
      <c r="H47" s="2"/>
      <c r="I47" s="2"/>
      <c r="J47" s="2"/>
      <c r="K47" s="6"/>
      <c r="L47" s="6"/>
      <c r="M47" s="4"/>
      <c r="N47" s="4"/>
      <c r="O47" s="4"/>
      <c r="P47"/>
      <c r="Q47"/>
    </row>
    <row r="48" spans="2:17" ht="34.5" customHeight="1" x14ac:dyDescent="0.25">
      <c r="B48" s="8">
        <v>41</v>
      </c>
      <c r="C48" s="8" t="s">
        <v>273</v>
      </c>
      <c r="D48" s="6" t="s">
        <v>229</v>
      </c>
      <c r="E48" s="6" t="s">
        <v>18</v>
      </c>
      <c r="F48" s="6"/>
      <c r="G48" s="4"/>
      <c r="H48" s="2"/>
      <c r="I48" s="2"/>
      <c r="J48" s="2"/>
      <c r="K48" s="6"/>
      <c r="L48" s="6"/>
      <c r="M48" s="4"/>
      <c r="N48" s="4"/>
      <c r="O48" s="4"/>
      <c r="P48"/>
      <c r="Q48"/>
    </row>
    <row r="49" spans="2:17" ht="34.5" customHeight="1" x14ac:dyDescent="0.25">
      <c r="B49" s="8">
        <v>42</v>
      </c>
      <c r="C49" s="8" t="s">
        <v>273</v>
      </c>
      <c r="D49" s="6" t="s">
        <v>248</v>
      </c>
      <c r="E49" s="6" t="s">
        <v>18</v>
      </c>
      <c r="F49" s="6"/>
      <c r="G49" s="4"/>
      <c r="H49" s="2"/>
      <c r="I49" s="2"/>
      <c r="J49" s="2"/>
      <c r="K49" s="6"/>
      <c r="L49" s="6"/>
      <c r="M49" s="4"/>
      <c r="N49" s="4"/>
      <c r="O49" s="4"/>
      <c r="P49"/>
      <c r="Q49"/>
    </row>
    <row r="50" spans="2:17" ht="34.5" customHeight="1" x14ac:dyDescent="0.25">
      <c r="B50" s="8">
        <v>43</v>
      </c>
      <c r="C50" s="8" t="s">
        <v>273</v>
      </c>
      <c r="D50" s="6" t="s">
        <v>251</v>
      </c>
      <c r="E50" s="6" t="s">
        <v>18</v>
      </c>
      <c r="F50" s="11"/>
      <c r="G50" s="4"/>
      <c r="H50" s="2"/>
      <c r="I50" s="2"/>
      <c r="J50" s="2"/>
      <c r="K50" s="6"/>
      <c r="L50" s="6"/>
      <c r="M50" s="4"/>
      <c r="N50" s="4"/>
      <c r="O50" s="4"/>
      <c r="P50"/>
      <c r="Q50"/>
    </row>
    <row r="51" spans="2:17" ht="34.5" customHeight="1" x14ac:dyDescent="0.25">
      <c r="B51" s="8">
        <v>44</v>
      </c>
      <c r="C51" s="8" t="s">
        <v>273</v>
      </c>
      <c r="D51" s="6" t="s">
        <v>79</v>
      </c>
      <c r="E51" s="6" t="s">
        <v>18</v>
      </c>
      <c r="F51" s="12" t="s">
        <v>85</v>
      </c>
      <c r="G51" s="4"/>
      <c r="H51" s="2"/>
      <c r="I51" s="2"/>
      <c r="J51" s="2"/>
      <c r="K51" s="20" t="s">
        <v>101</v>
      </c>
      <c r="L51" s="20"/>
      <c r="M51" s="6"/>
      <c r="N51" s="4" t="s">
        <v>96</v>
      </c>
      <c r="O51" s="4"/>
      <c r="P51" s="4"/>
      <c r="Q51"/>
    </row>
    <row r="52" spans="2:17" ht="34.5" customHeight="1" x14ac:dyDescent="0.25">
      <c r="B52" s="8">
        <v>45</v>
      </c>
      <c r="C52" s="8" t="s">
        <v>273</v>
      </c>
      <c r="D52" s="6" t="s">
        <v>283</v>
      </c>
      <c r="E52" s="6" t="s">
        <v>18</v>
      </c>
      <c r="F52" s="6" t="s">
        <v>286</v>
      </c>
      <c r="G52" s="4"/>
      <c r="H52" s="2"/>
      <c r="I52" s="2"/>
      <c r="J52" s="2"/>
      <c r="K52" s="6"/>
      <c r="L52" s="6"/>
      <c r="M52" s="4"/>
      <c r="N52" s="4"/>
      <c r="O52" s="4"/>
      <c r="P52"/>
      <c r="Q5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DF83-C7EF-437C-A661-A07A95CE2204}">
  <sheetPr>
    <tabColor rgb="FFC00000"/>
  </sheetPr>
  <dimension ref="A1:Q43"/>
  <sheetViews>
    <sheetView tabSelected="1" topLeftCell="A28" zoomScale="60" zoomScaleNormal="60" workbookViewId="0">
      <selection activeCell="D45" sqref="D45"/>
    </sheetView>
  </sheetViews>
  <sheetFormatPr defaultRowHeight="15" x14ac:dyDescent="0.25"/>
  <cols>
    <col min="1" max="1" width="5.140625" customWidth="1"/>
    <col min="2" max="2" width="10" style="10" customWidth="1"/>
    <col min="3" max="3" width="4.85546875" style="10" bestFit="1" customWidth="1"/>
    <col min="4" max="4" width="83" style="7" bestFit="1" customWidth="1"/>
    <col min="5" max="5" width="40.5703125" style="7" customWidth="1"/>
    <col min="6" max="6" width="65.140625" style="7" customWidth="1"/>
    <col min="7" max="7" width="31.28515625" hidden="1" customWidth="1"/>
    <col min="8" max="8" width="27.28515625" style="5" hidden="1" customWidth="1"/>
    <col min="9" max="9" width="41.140625" hidden="1" customWidth="1"/>
    <col min="10" max="10" width="19.140625" hidden="1" customWidth="1"/>
    <col min="11" max="11" width="13.85546875" hidden="1" customWidth="1"/>
    <col min="12" max="12" width="55" style="5" customWidth="1"/>
    <col min="13" max="13" width="26.28515625" style="5" customWidth="1"/>
    <col min="14" max="14" width="21.28515625" style="5" customWidth="1"/>
    <col min="15" max="15" width="18.5703125" style="5" customWidth="1"/>
    <col min="16" max="16" width="18.85546875" style="5" customWidth="1"/>
    <col min="17" max="17" width="23.42578125" style="5" customWidth="1"/>
  </cols>
  <sheetData>
    <row r="1" spans="1:17" ht="33.75" customHeight="1" x14ac:dyDescent="0.25">
      <c r="D1" s="18" t="s">
        <v>292</v>
      </c>
    </row>
    <row r="2" spans="1:17" x14ac:dyDescent="0.25">
      <c r="L2" s="15" t="s">
        <v>98</v>
      </c>
    </row>
    <row r="3" spans="1:17" x14ac:dyDescent="0.25">
      <c r="L3" s="16" t="s">
        <v>99</v>
      </c>
    </row>
    <row r="4" spans="1:17" x14ac:dyDescent="0.25">
      <c r="L4" s="19" t="s">
        <v>100</v>
      </c>
    </row>
    <row r="5" spans="1:17" x14ac:dyDescent="0.25">
      <c r="L5" s="26" t="s">
        <v>274</v>
      </c>
    </row>
    <row r="7" spans="1:17" ht="47.45" customHeight="1" x14ac:dyDescent="0.25">
      <c r="B7" s="3" t="s">
        <v>270</v>
      </c>
      <c r="C7" s="3" t="s">
        <v>1</v>
      </c>
      <c r="D7" s="3" t="s">
        <v>0</v>
      </c>
      <c r="E7" s="3" t="s">
        <v>1</v>
      </c>
      <c r="F7" s="3" t="s">
        <v>2</v>
      </c>
      <c r="G7" s="3" t="s">
        <v>3</v>
      </c>
      <c r="H7" s="3" t="s">
        <v>5</v>
      </c>
      <c r="I7" s="3" t="s">
        <v>4</v>
      </c>
      <c r="J7" s="3" t="s">
        <v>21</v>
      </c>
      <c r="K7" s="3" t="s">
        <v>22</v>
      </c>
      <c r="L7" s="3" t="s">
        <v>86</v>
      </c>
      <c r="M7" s="3" t="s">
        <v>269</v>
      </c>
      <c r="N7" s="3" t="s">
        <v>127</v>
      </c>
      <c r="O7" s="3" t="s">
        <v>93</v>
      </c>
      <c r="P7" s="3" t="s">
        <v>94</v>
      </c>
      <c r="Q7" s="3" t="s">
        <v>95</v>
      </c>
    </row>
    <row r="9" spans="1:17" s="10" customFormat="1" ht="34.5" customHeight="1" x14ac:dyDescent="0.25">
      <c r="A9"/>
      <c r="B9" s="8">
        <v>1</v>
      </c>
      <c r="C9" s="29" t="s">
        <v>295</v>
      </c>
      <c r="D9" s="29" t="s">
        <v>176</v>
      </c>
      <c r="E9" s="29" t="s">
        <v>18</v>
      </c>
      <c r="F9" s="8" t="s">
        <v>212</v>
      </c>
      <c r="G9" s="31"/>
      <c r="H9" s="30"/>
      <c r="I9" s="30"/>
      <c r="J9" s="30"/>
      <c r="K9" s="29"/>
      <c r="L9" s="29"/>
      <c r="M9" s="31"/>
      <c r="N9" s="31"/>
      <c r="O9" s="31"/>
    </row>
    <row r="10" spans="1:17" ht="34.5" customHeight="1" x14ac:dyDescent="0.25">
      <c r="B10" s="8">
        <v>2</v>
      </c>
      <c r="C10" s="7" t="s">
        <v>295</v>
      </c>
      <c r="D10" s="7" t="s">
        <v>221</v>
      </c>
      <c r="E10" s="13" t="s">
        <v>45</v>
      </c>
      <c r="F10" s="13" t="s">
        <v>205</v>
      </c>
      <c r="G10" s="13"/>
      <c r="H10" s="2"/>
      <c r="I10" s="2"/>
      <c r="J10" s="2"/>
      <c r="K10" s="6"/>
      <c r="L10" s="6"/>
      <c r="M10" s="4"/>
      <c r="N10" s="4"/>
      <c r="O10" s="4"/>
      <c r="P10"/>
      <c r="Q10"/>
    </row>
    <row r="11" spans="1:17" ht="34.5" customHeight="1" x14ac:dyDescent="0.25">
      <c r="B11" s="8">
        <v>3</v>
      </c>
      <c r="C11" s="13" t="s">
        <v>295</v>
      </c>
      <c r="D11" s="13" t="s">
        <v>196</v>
      </c>
      <c r="E11" s="13" t="s">
        <v>201</v>
      </c>
      <c r="F11" s="13" t="s">
        <v>225</v>
      </c>
      <c r="G11" s="4"/>
      <c r="H11" s="2"/>
      <c r="I11" s="2"/>
      <c r="J11" s="2"/>
      <c r="K11" s="6"/>
      <c r="L11" s="6"/>
      <c r="M11" s="4"/>
      <c r="N11" s="4"/>
      <c r="O11" s="4"/>
      <c r="P11"/>
      <c r="Q11"/>
    </row>
    <row r="12" spans="1:17" ht="34.5" customHeight="1" x14ac:dyDescent="0.25">
      <c r="B12" s="8">
        <v>4</v>
      </c>
      <c r="C12" s="13" t="s">
        <v>295</v>
      </c>
      <c r="D12" s="13" t="s">
        <v>197</v>
      </c>
      <c r="E12" s="13" t="s">
        <v>201</v>
      </c>
      <c r="F12" s="13" t="s">
        <v>202</v>
      </c>
      <c r="G12" s="4"/>
      <c r="H12" s="2"/>
      <c r="I12" s="2"/>
      <c r="J12" s="2"/>
      <c r="K12" s="6"/>
      <c r="L12" s="6"/>
      <c r="M12" s="4"/>
      <c r="N12" s="4"/>
      <c r="O12" s="4"/>
      <c r="P12"/>
      <c r="Q12"/>
    </row>
    <row r="13" spans="1:17" ht="34.5" customHeight="1" x14ac:dyDescent="0.25">
      <c r="B13" s="8">
        <v>5</v>
      </c>
      <c r="C13" s="13" t="s">
        <v>295</v>
      </c>
      <c r="D13" s="13" t="s">
        <v>198</v>
      </c>
      <c r="E13" s="13" t="s">
        <v>203</v>
      </c>
      <c r="F13" s="13" t="s">
        <v>204</v>
      </c>
      <c r="G13" s="4"/>
      <c r="H13" s="2"/>
      <c r="I13" s="2"/>
      <c r="J13" s="2"/>
      <c r="K13" s="6"/>
      <c r="L13" s="6"/>
      <c r="M13" s="4"/>
      <c r="N13" s="4"/>
      <c r="O13" s="4"/>
      <c r="P13"/>
      <c r="Q13"/>
    </row>
    <row r="14" spans="1:17" ht="34.5" customHeight="1" x14ac:dyDescent="0.25">
      <c r="B14" s="8">
        <v>6</v>
      </c>
      <c r="C14" s="13" t="s">
        <v>295</v>
      </c>
      <c r="D14" s="13" t="s">
        <v>169</v>
      </c>
      <c r="E14" s="13" t="s">
        <v>199</v>
      </c>
      <c r="F14" s="13" t="s">
        <v>200</v>
      </c>
      <c r="G14" s="4"/>
      <c r="H14" s="2"/>
      <c r="I14" s="2"/>
      <c r="J14" s="2"/>
      <c r="K14" s="6"/>
      <c r="L14" s="6"/>
      <c r="M14" s="4"/>
      <c r="N14" s="4"/>
      <c r="O14" s="4"/>
      <c r="P14"/>
      <c r="Q14"/>
    </row>
    <row r="15" spans="1:17" ht="34.5" customHeight="1" x14ac:dyDescent="0.25">
      <c r="B15" s="8">
        <v>7</v>
      </c>
      <c r="C15" s="13" t="s">
        <v>295</v>
      </c>
      <c r="D15" s="13" t="s">
        <v>222</v>
      </c>
      <c r="E15" s="13" t="s">
        <v>203</v>
      </c>
      <c r="F15" s="13" t="s">
        <v>226</v>
      </c>
      <c r="G15" s="13"/>
      <c r="H15" s="2"/>
      <c r="I15" s="2"/>
      <c r="J15" s="2"/>
      <c r="K15" s="6"/>
      <c r="L15" s="6"/>
      <c r="M15" s="4"/>
      <c r="N15" s="4"/>
      <c r="O15" s="4"/>
      <c r="P15"/>
      <c r="Q15"/>
    </row>
    <row r="16" spans="1:17" ht="34.5" customHeight="1" x14ac:dyDescent="0.25">
      <c r="B16" s="8">
        <v>8</v>
      </c>
      <c r="C16" s="13" t="s">
        <v>295</v>
      </c>
      <c r="D16" s="13" t="s">
        <v>170</v>
      </c>
      <c r="E16" s="13" t="s">
        <v>18</v>
      </c>
      <c r="F16" s="13" t="s">
        <v>240</v>
      </c>
      <c r="G16" s="13"/>
      <c r="H16" s="2"/>
      <c r="I16" s="2"/>
      <c r="J16" s="2"/>
      <c r="K16" s="6"/>
      <c r="L16" s="6"/>
      <c r="M16" s="4"/>
      <c r="N16" s="4"/>
      <c r="O16" s="4"/>
      <c r="P16"/>
      <c r="Q16"/>
    </row>
    <row r="17" spans="2:17" ht="34.5" customHeight="1" x14ac:dyDescent="0.25">
      <c r="B17" s="8">
        <v>9</v>
      </c>
      <c r="C17" s="6" t="s">
        <v>295</v>
      </c>
      <c r="D17" s="6" t="s">
        <v>172</v>
      </c>
      <c r="E17" s="6" t="s">
        <v>201</v>
      </c>
      <c r="F17" s="13" t="s">
        <v>218</v>
      </c>
      <c r="G17" s="4"/>
      <c r="H17" s="2"/>
      <c r="I17" s="2"/>
      <c r="J17" s="2"/>
      <c r="K17" s="6"/>
      <c r="L17" s="6"/>
      <c r="M17" s="4"/>
      <c r="N17" s="4"/>
      <c r="O17" s="4"/>
      <c r="P17"/>
      <c r="Q17"/>
    </row>
    <row r="18" spans="2:17" ht="34.5" customHeight="1" x14ac:dyDescent="0.25">
      <c r="B18" s="8">
        <v>10</v>
      </c>
      <c r="C18" s="6" t="s">
        <v>295</v>
      </c>
      <c r="D18" s="6" t="s">
        <v>178</v>
      </c>
      <c r="E18" s="6" t="s">
        <v>201</v>
      </c>
      <c r="F18" s="6" t="s">
        <v>214</v>
      </c>
      <c r="G18" s="4"/>
      <c r="H18" s="2"/>
      <c r="I18" s="2"/>
      <c r="J18" s="2"/>
      <c r="K18" s="6"/>
      <c r="L18" s="6"/>
      <c r="M18" s="4"/>
      <c r="N18" s="4"/>
      <c r="O18" s="4"/>
      <c r="P18"/>
      <c r="Q18"/>
    </row>
    <row r="19" spans="2:17" ht="34.5" customHeight="1" x14ac:dyDescent="0.25">
      <c r="B19" s="8">
        <v>11</v>
      </c>
      <c r="C19" s="6" t="s">
        <v>295</v>
      </c>
      <c r="D19" s="6" t="s">
        <v>179</v>
      </c>
      <c r="E19" s="6" t="s">
        <v>201</v>
      </c>
      <c r="F19" s="6" t="s">
        <v>215</v>
      </c>
      <c r="G19" s="4"/>
      <c r="H19" s="2"/>
      <c r="I19" s="2"/>
      <c r="J19" s="2"/>
      <c r="K19" s="6"/>
      <c r="L19" s="6"/>
      <c r="M19" s="4"/>
      <c r="N19" s="4"/>
      <c r="O19" s="4"/>
      <c r="P19"/>
      <c r="Q19"/>
    </row>
    <row r="20" spans="2:17" ht="34.5" customHeight="1" x14ac:dyDescent="0.25">
      <c r="B20" s="8">
        <v>12</v>
      </c>
      <c r="C20" s="6" t="s">
        <v>295</v>
      </c>
      <c r="D20" s="6" t="s">
        <v>182</v>
      </c>
      <c r="E20" s="13" t="s">
        <v>201</v>
      </c>
      <c r="F20" s="13" t="s">
        <v>216</v>
      </c>
      <c r="G20" s="4"/>
      <c r="H20" s="2"/>
      <c r="I20" s="2"/>
      <c r="J20" s="2"/>
      <c r="K20" s="6"/>
      <c r="L20" s="6"/>
      <c r="M20" s="4"/>
      <c r="N20" s="4"/>
      <c r="O20" s="4"/>
      <c r="P20"/>
      <c r="Q20"/>
    </row>
    <row r="21" spans="2:17" ht="34.5" customHeight="1" x14ac:dyDescent="0.25">
      <c r="B21" s="8">
        <v>13</v>
      </c>
      <c r="C21" s="6" t="s">
        <v>295</v>
      </c>
      <c r="D21" s="6" t="s">
        <v>186</v>
      </c>
      <c r="E21" s="6" t="s">
        <v>199</v>
      </c>
      <c r="F21" s="6" t="s">
        <v>223</v>
      </c>
      <c r="G21" s="4"/>
      <c r="H21" s="2"/>
      <c r="I21" s="2"/>
      <c r="J21" s="2"/>
      <c r="K21" s="6"/>
      <c r="L21" s="6"/>
      <c r="M21" s="4"/>
      <c r="N21" s="4"/>
      <c r="O21" s="4"/>
      <c r="P21"/>
      <c r="Q21"/>
    </row>
    <row r="22" spans="2:17" ht="34.5" customHeight="1" x14ac:dyDescent="0.25">
      <c r="B22" s="8">
        <v>14</v>
      </c>
      <c r="C22" s="6" t="s">
        <v>295</v>
      </c>
      <c r="D22" s="6" t="s">
        <v>190</v>
      </c>
      <c r="E22" s="6" t="s">
        <v>18</v>
      </c>
      <c r="F22" s="6" t="s">
        <v>245</v>
      </c>
      <c r="G22" s="4"/>
      <c r="H22" s="2"/>
      <c r="I22" s="2"/>
      <c r="J22" s="2"/>
      <c r="K22" s="6"/>
      <c r="L22" s="6"/>
      <c r="M22" s="4"/>
      <c r="N22" s="4"/>
      <c r="O22" s="4"/>
      <c r="P22"/>
      <c r="Q22"/>
    </row>
    <row r="23" spans="2:17" ht="34.5" customHeight="1" x14ac:dyDescent="0.25">
      <c r="B23" s="8">
        <v>15</v>
      </c>
      <c r="C23" s="6" t="s">
        <v>295</v>
      </c>
      <c r="D23" s="6" t="s">
        <v>241</v>
      </c>
      <c r="E23" s="6" t="s">
        <v>201</v>
      </c>
      <c r="F23" s="6" t="s">
        <v>242</v>
      </c>
      <c r="G23" s="4"/>
      <c r="H23" s="2"/>
      <c r="I23" s="2"/>
      <c r="J23" s="2"/>
      <c r="K23" s="6"/>
      <c r="L23" s="6"/>
      <c r="M23" s="4"/>
      <c r="N23" s="4"/>
      <c r="O23" s="4"/>
      <c r="P23"/>
      <c r="Q23"/>
    </row>
    <row r="24" spans="2:17" ht="34.5" customHeight="1" x14ac:dyDescent="0.25">
      <c r="B24" s="8">
        <v>16</v>
      </c>
      <c r="C24" s="6" t="s">
        <v>295</v>
      </c>
      <c r="D24" s="6" t="s">
        <v>174</v>
      </c>
      <c r="E24" s="6" t="s">
        <v>209</v>
      </c>
      <c r="F24" s="6" t="s">
        <v>210</v>
      </c>
      <c r="G24" s="4"/>
      <c r="H24" s="2"/>
      <c r="I24" s="2"/>
      <c r="J24" s="2"/>
      <c r="K24" s="6"/>
      <c r="L24" s="6"/>
      <c r="M24" s="4"/>
      <c r="N24" s="4"/>
      <c r="O24" s="4"/>
      <c r="P24"/>
      <c r="Q24"/>
    </row>
    <row r="25" spans="2:17" ht="34.5" customHeight="1" x14ac:dyDescent="0.25">
      <c r="B25" s="8">
        <v>17</v>
      </c>
      <c r="C25" s="6" t="s">
        <v>295</v>
      </c>
      <c r="D25" s="6" t="s">
        <v>175</v>
      </c>
      <c r="E25" s="6" t="s">
        <v>201</v>
      </c>
      <c r="F25" s="13" t="s">
        <v>211</v>
      </c>
      <c r="G25" s="4"/>
      <c r="H25" s="2"/>
      <c r="I25" s="2"/>
      <c r="J25" s="2"/>
      <c r="K25" s="6"/>
      <c r="L25" s="6"/>
      <c r="M25" s="4"/>
      <c r="N25" s="4"/>
      <c r="O25" s="4"/>
      <c r="P25"/>
      <c r="Q25"/>
    </row>
    <row r="26" spans="2:17" ht="34.5" customHeight="1" x14ac:dyDescent="0.25">
      <c r="B26" s="8">
        <v>18</v>
      </c>
      <c r="C26" s="6" t="s">
        <v>295</v>
      </c>
      <c r="D26" s="6" t="s">
        <v>220</v>
      </c>
      <c r="E26" s="6" t="s">
        <v>203</v>
      </c>
      <c r="F26" s="13" t="s">
        <v>219</v>
      </c>
      <c r="G26" s="4"/>
      <c r="H26" s="2"/>
      <c r="I26" s="2"/>
      <c r="J26" s="2"/>
      <c r="K26" s="6"/>
      <c r="L26" s="6"/>
      <c r="M26" s="4"/>
      <c r="N26" s="4"/>
      <c r="O26" s="4"/>
      <c r="P26"/>
      <c r="Q26"/>
    </row>
    <row r="27" spans="2:17" ht="34.5" customHeight="1" x14ac:dyDescent="0.25">
      <c r="B27" s="8">
        <v>19</v>
      </c>
      <c r="C27" s="6" t="s">
        <v>295</v>
      </c>
      <c r="D27" s="6" t="s">
        <v>195</v>
      </c>
      <c r="E27" s="6" t="s">
        <v>209</v>
      </c>
      <c r="F27" s="13" t="s">
        <v>207</v>
      </c>
      <c r="G27" s="4"/>
      <c r="H27" s="2"/>
      <c r="I27" s="2"/>
      <c r="J27" s="2"/>
      <c r="K27" s="6"/>
      <c r="L27" s="6"/>
      <c r="M27" s="4"/>
      <c r="N27" s="4"/>
      <c r="O27" s="4"/>
      <c r="P27"/>
      <c r="Q27"/>
    </row>
    <row r="28" spans="2:17" ht="34.5" customHeight="1" x14ac:dyDescent="0.25">
      <c r="B28" s="8">
        <v>20</v>
      </c>
      <c r="C28" s="6" t="s">
        <v>295</v>
      </c>
      <c r="D28" s="6" t="s">
        <v>233</v>
      </c>
      <c r="E28" s="6" t="s">
        <v>18</v>
      </c>
      <c r="F28" s="6" t="s">
        <v>236</v>
      </c>
      <c r="G28" s="4"/>
      <c r="H28" s="2"/>
      <c r="I28" s="2"/>
      <c r="J28" s="2"/>
      <c r="K28" s="6"/>
      <c r="L28" s="6"/>
      <c r="M28" s="4"/>
      <c r="N28" s="4"/>
      <c r="O28" s="4"/>
      <c r="P28"/>
      <c r="Q28"/>
    </row>
    <row r="29" spans="2:17" ht="34.5" customHeight="1" x14ac:dyDescent="0.25">
      <c r="B29" s="8">
        <v>21</v>
      </c>
      <c r="C29" s="6" t="s">
        <v>295</v>
      </c>
      <c r="D29" s="6" t="s">
        <v>234</v>
      </c>
      <c r="E29" s="6" t="s">
        <v>18</v>
      </c>
      <c r="F29" s="6" t="s">
        <v>235</v>
      </c>
      <c r="G29" s="4"/>
      <c r="H29" s="2"/>
      <c r="I29" s="2"/>
      <c r="J29" s="2"/>
      <c r="K29" s="6"/>
      <c r="L29" s="6"/>
      <c r="M29" s="4"/>
      <c r="N29" s="4"/>
      <c r="O29" s="4"/>
      <c r="P29"/>
      <c r="Q29"/>
    </row>
    <row r="30" spans="2:17" ht="34.5" customHeight="1" x14ac:dyDescent="0.25">
      <c r="B30" s="8">
        <v>22</v>
      </c>
      <c r="C30" s="6" t="s">
        <v>295</v>
      </c>
      <c r="D30" s="6" t="s">
        <v>187</v>
      </c>
      <c r="E30" s="6" t="s">
        <v>28</v>
      </c>
      <c r="F30" s="6" t="s">
        <v>250</v>
      </c>
      <c r="G30" s="4"/>
      <c r="H30" s="2"/>
      <c r="I30" s="2"/>
      <c r="J30" s="2"/>
      <c r="K30" s="6"/>
      <c r="L30" s="6"/>
      <c r="M30" s="4"/>
      <c r="N30" s="4"/>
      <c r="O30" s="4"/>
      <c r="P30"/>
      <c r="Q30"/>
    </row>
    <row r="31" spans="2:17" ht="34.5" customHeight="1" x14ac:dyDescent="0.25">
      <c r="B31" s="8">
        <v>23</v>
      </c>
      <c r="C31" s="6" t="s">
        <v>295</v>
      </c>
      <c r="D31" s="6" t="s">
        <v>189</v>
      </c>
      <c r="E31" s="6" t="s">
        <v>201</v>
      </c>
      <c r="F31" s="6" t="s">
        <v>294</v>
      </c>
      <c r="G31" s="4"/>
      <c r="H31" s="2"/>
      <c r="I31" s="2"/>
      <c r="J31" s="2"/>
      <c r="K31" s="6"/>
      <c r="L31" s="6"/>
      <c r="M31" s="4"/>
      <c r="N31" s="4"/>
      <c r="O31" s="4"/>
      <c r="P31"/>
      <c r="Q31"/>
    </row>
    <row r="32" spans="2:17" ht="34.5" customHeight="1" x14ac:dyDescent="0.25">
      <c r="B32" s="8">
        <v>24</v>
      </c>
      <c r="C32" s="11" t="s">
        <v>295</v>
      </c>
      <c r="D32" s="11" t="s">
        <v>188</v>
      </c>
      <c r="E32" s="6" t="s">
        <v>203</v>
      </c>
      <c r="F32" s="6" t="s">
        <v>230</v>
      </c>
      <c r="G32" s="4"/>
      <c r="H32" s="2"/>
      <c r="I32" s="2"/>
      <c r="J32" s="2"/>
      <c r="K32" s="6"/>
      <c r="L32" s="6"/>
      <c r="M32" s="4"/>
      <c r="N32" s="4"/>
      <c r="O32" s="4"/>
      <c r="P32"/>
      <c r="Q32"/>
    </row>
    <row r="33" spans="2:17" ht="34.5" customHeight="1" x14ac:dyDescent="0.25">
      <c r="B33" s="8">
        <v>25</v>
      </c>
      <c r="C33" s="6" t="s">
        <v>295</v>
      </c>
      <c r="D33" s="6" t="s">
        <v>243</v>
      </c>
      <c r="E33" s="6" t="s">
        <v>45</v>
      </c>
      <c r="F33" s="6" t="s">
        <v>244</v>
      </c>
      <c r="G33" s="4"/>
      <c r="H33" s="2"/>
      <c r="I33" s="2"/>
      <c r="J33" s="2"/>
      <c r="K33" s="6"/>
      <c r="L33" s="6"/>
      <c r="M33" s="4"/>
      <c r="N33" s="4"/>
      <c r="O33" s="4"/>
      <c r="P33"/>
      <c r="Q33"/>
    </row>
    <row r="34" spans="2:17" ht="34.5" customHeight="1" x14ac:dyDescent="0.25">
      <c r="B34" s="8">
        <v>26</v>
      </c>
      <c r="C34" s="6" t="s">
        <v>295</v>
      </c>
      <c r="D34" s="6" t="s">
        <v>79</v>
      </c>
      <c r="E34" s="6" t="s">
        <v>18</v>
      </c>
      <c r="F34" s="12" t="s">
        <v>85</v>
      </c>
      <c r="G34" s="4"/>
      <c r="H34" s="2"/>
      <c r="I34" s="2"/>
      <c r="J34" s="2"/>
      <c r="K34" s="20" t="s">
        <v>101</v>
      </c>
      <c r="L34" s="20"/>
      <c r="M34" s="6"/>
      <c r="N34" s="4" t="s">
        <v>96</v>
      </c>
      <c r="O34" s="4"/>
      <c r="P34" s="4"/>
      <c r="Q34"/>
    </row>
    <row r="35" spans="2:17" ht="34.5" customHeight="1" x14ac:dyDescent="0.25">
      <c r="B35" s="8">
        <v>27</v>
      </c>
      <c r="C35" s="6" t="s">
        <v>295</v>
      </c>
      <c r="D35" s="6" t="s">
        <v>78</v>
      </c>
      <c r="E35" s="6" t="s">
        <v>45</v>
      </c>
      <c r="F35" s="6" t="s">
        <v>276</v>
      </c>
      <c r="G35" s="4"/>
      <c r="H35" s="2"/>
      <c r="I35" s="2"/>
      <c r="J35" s="2"/>
      <c r="K35" s="14" t="s">
        <v>87</v>
      </c>
      <c r="L35" s="14"/>
      <c r="M35" s="6"/>
      <c r="N35" s="4"/>
      <c r="O35" s="4"/>
      <c r="P35"/>
      <c r="Q35"/>
    </row>
    <row r="36" spans="2:17" ht="34.5" customHeight="1" x14ac:dyDescent="0.25">
      <c r="B36" s="8">
        <v>28</v>
      </c>
      <c r="C36" s="6" t="s">
        <v>295</v>
      </c>
      <c r="D36" s="6" t="s">
        <v>260</v>
      </c>
      <c r="E36" s="6" t="s">
        <v>28</v>
      </c>
      <c r="F36" s="6" t="s">
        <v>261</v>
      </c>
      <c r="G36" s="4"/>
      <c r="H36" s="4"/>
      <c r="I36" s="4"/>
      <c r="J36" s="4"/>
      <c r="K36" s="4"/>
      <c r="L36" s="23" t="s">
        <v>259</v>
      </c>
      <c r="M36" s="23"/>
      <c r="N36" s="21">
        <v>45806</v>
      </c>
      <c r="O36" s="4"/>
      <c r="P36" s="4"/>
      <c r="Q36" s="4"/>
    </row>
    <row r="37" spans="2:17" ht="34.5" customHeight="1" x14ac:dyDescent="0.25">
      <c r="B37" s="8">
        <v>29</v>
      </c>
      <c r="C37" s="6" t="s">
        <v>295</v>
      </c>
      <c r="D37" s="6" t="s">
        <v>183</v>
      </c>
      <c r="E37" s="13"/>
      <c r="F37" s="13" t="s">
        <v>237</v>
      </c>
      <c r="G37" s="4"/>
      <c r="H37" s="2"/>
      <c r="I37" s="2"/>
      <c r="J37" s="2"/>
      <c r="K37" s="6"/>
      <c r="L37" s="6"/>
      <c r="M37" s="4"/>
      <c r="N37" s="4"/>
      <c r="O37" s="4"/>
      <c r="P37"/>
      <c r="Q37"/>
    </row>
    <row r="38" spans="2:17" ht="34.5" customHeight="1" x14ac:dyDescent="0.25">
      <c r="B38" s="8">
        <v>30</v>
      </c>
      <c r="C38" s="6" t="s">
        <v>295</v>
      </c>
      <c r="D38" s="6" t="s">
        <v>184</v>
      </c>
      <c r="E38" s="6" t="s">
        <v>201</v>
      </c>
      <c r="F38" s="6" t="s">
        <v>224</v>
      </c>
      <c r="G38" s="4"/>
      <c r="H38" s="2"/>
      <c r="I38" s="2"/>
      <c r="J38" s="2"/>
      <c r="K38" s="6"/>
      <c r="L38" s="6"/>
      <c r="M38" s="4"/>
      <c r="N38" s="4"/>
      <c r="O38" s="4"/>
      <c r="P38"/>
      <c r="Q38"/>
    </row>
    <row r="39" spans="2:17" ht="34.5" customHeight="1" x14ac:dyDescent="0.25">
      <c r="B39" s="8">
        <v>31</v>
      </c>
      <c r="C39" s="6" t="s">
        <v>295</v>
      </c>
      <c r="D39" s="6" t="s">
        <v>185</v>
      </c>
      <c r="E39" s="6" t="s">
        <v>18</v>
      </c>
      <c r="F39" s="6" t="s">
        <v>213</v>
      </c>
      <c r="G39" s="4"/>
      <c r="H39" s="2"/>
      <c r="I39" s="2"/>
      <c r="J39" s="2"/>
      <c r="K39" s="6"/>
      <c r="L39" s="6"/>
      <c r="M39" s="4"/>
      <c r="N39" s="4"/>
      <c r="O39" s="4"/>
      <c r="P39"/>
      <c r="Q39"/>
    </row>
    <row r="40" spans="2:17" ht="34.5" customHeight="1" x14ac:dyDescent="0.25">
      <c r="B40" s="8">
        <v>32</v>
      </c>
      <c r="C40" s="6" t="s">
        <v>295</v>
      </c>
      <c r="D40" s="6" t="s">
        <v>171</v>
      </c>
      <c r="E40" s="6" t="s">
        <v>18</v>
      </c>
      <c r="F40" s="13" t="s">
        <v>206</v>
      </c>
      <c r="G40" s="4"/>
      <c r="H40" s="2"/>
      <c r="I40" s="2"/>
      <c r="J40" s="2"/>
      <c r="K40" s="6"/>
      <c r="L40" s="6"/>
      <c r="M40" s="4"/>
      <c r="N40" s="4"/>
      <c r="O40" s="4"/>
      <c r="P40"/>
      <c r="Q40"/>
    </row>
    <row r="41" spans="2:17" ht="34.5" customHeight="1" x14ac:dyDescent="0.25">
      <c r="B41" s="8">
        <v>33</v>
      </c>
      <c r="C41" s="6" t="s">
        <v>295</v>
      </c>
      <c r="D41" s="6" t="s">
        <v>173</v>
      </c>
      <c r="E41" s="13" t="s">
        <v>18</v>
      </c>
      <c r="F41" s="13" t="s">
        <v>208</v>
      </c>
      <c r="G41" s="4"/>
      <c r="H41" s="2"/>
      <c r="I41" s="2"/>
      <c r="J41" s="2"/>
      <c r="K41" s="6"/>
      <c r="L41" s="6"/>
      <c r="M41" s="4"/>
      <c r="N41" s="4"/>
      <c r="O41" s="4"/>
      <c r="P41"/>
      <c r="Q41"/>
    </row>
    <row r="42" spans="2:17" ht="34.5" customHeight="1" x14ac:dyDescent="0.25">
      <c r="B42" s="8">
        <v>34</v>
      </c>
      <c r="C42" s="6" t="s">
        <v>295</v>
      </c>
      <c r="D42" s="6" t="s">
        <v>249</v>
      </c>
      <c r="E42" s="6" t="s">
        <v>18</v>
      </c>
      <c r="F42" s="6"/>
      <c r="G42" s="4"/>
      <c r="H42" s="2"/>
      <c r="I42" s="2"/>
      <c r="J42" s="2"/>
      <c r="K42" s="6"/>
      <c r="L42" s="6"/>
      <c r="M42" s="4"/>
      <c r="N42" s="4"/>
      <c r="O42" s="4"/>
      <c r="P42"/>
      <c r="Q42"/>
    </row>
    <row r="43" spans="2:17" ht="34.5" customHeight="1" x14ac:dyDescent="0.25">
      <c r="B43" s="8">
        <v>35</v>
      </c>
      <c r="C43" s="6" t="s">
        <v>295</v>
      </c>
      <c r="D43" s="6" t="s">
        <v>252</v>
      </c>
      <c r="E43" s="6" t="s">
        <v>18</v>
      </c>
      <c r="F43" s="6"/>
      <c r="G43" s="4"/>
      <c r="H43" s="2"/>
      <c r="I43" s="2"/>
      <c r="J43" s="2"/>
      <c r="K43" s="6"/>
      <c r="L43" s="6"/>
      <c r="M43" s="4"/>
      <c r="N43" s="4"/>
      <c r="O43" s="4"/>
      <c r="P43"/>
      <c r="Q43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195D-DEBE-418C-B716-8A6319A104CB}">
  <sheetPr>
    <tabColor rgb="FFFF99FF"/>
  </sheetPr>
  <dimension ref="B1:Q9"/>
  <sheetViews>
    <sheetView workbookViewId="0">
      <selection activeCell="D20" sqref="D20"/>
    </sheetView>
  </sheetViews>
  <sheetFormatPr defaultRowHeight="15" x14ac:dyDescent="0.25"/>
  <cols>
    <col min="1" max="1" width="5.140625" customWidth="1"/>
    <col min="2" max="2" width="10" style="10" customWidth="1"/>
    <col min="3" max="3" width="9.42578125" style="10" customWidth="1"/>
    <col min="4" max="4" width="45" style="7" customWidth="1"/>
    <col min="5" max="5" width="26.140625" style="7" customWidth="1"/>
    <col min="6" max="6" width="65.140625" style="7" customWidth="1"/>
    <col min="7" max="7" width="31.28515625" hidden="1" customWidth="1"/>
    <col min="8" max="8" width="27.28515625" style="5" hidden="1" customWidth="1"/>
    <col min="9" max="9" width="41.140625" hidden="1" customWidth="1"/>
    <col min="10" max="10" width="19.140625" hidden="1" customWidth="1"/>
    <col min="11" max="11" width="13.85546875" hidden="1" customWidth="1"/>
    <col min="12" max="12" width="55" style="5" customWidth="1"/>
    <col min="13" max="13" width="26.28515625" style="5" customWidth="1"/>
    <col min="14" max="14" width="21.28515625" style="5" customWidth="1"/>
    <col min="15" max="15" width="18.5703125" style="5" customWidth="1"/>
    <col min="16" max="16" width="18.85546875" style="5" customWidth="1"/>
    <col min="17" max="17" width="23.42578125" style="5" customWidth="1"/>
  </cols>
  <sheetData>
    <row r="1" spans="2:17" ht="33.75" customHeight="1" x14ac:dyDescent="0.25">
      <c r="D1" s="18" t="s">
        <v>293</v>
      </c>
    </row>
    <row r="2" spans="2:17" x14ac:dyDescent="0.25">
      <c r="L2" s="15" t="s">
        <v>98</v>
      </c>
    </row>
    <row r="3" spans="2:17" x14ac:dyDescent="0.25">
      <c r="L3" s="16" t="s">
        <v>99</v>
      </c>
    </row>
    <row r="4" spans="2:17" x14ac:dyDescent="0.25">
      <c r="L4" s="19" t="s">
        <v>100</v>
      </c>
    </row>
    <row r="5" spans="2:17" x14ac:dyDescent="0.25">
      <c r="L5" s="26" t="s">
        <v>274</v>
      </c>
    </row>
    <row r="7" spans="2:17" ht="47.45" customHeight="1" x14ac:dyDescent="0.25">
      <c r="B7" s="3" t="s">
        <v>270</v>
      </c>
      <c r="C7" s="3" t="s">
        <v>1</v>
      </c>
      <c r="D7" s="3" t="s">
        <v>0</v>
      </c>
      <c r="E7" s="3" t="s">
        <v>1</v>
      </c>
      <c r="F7" s="3" t="s">
        <v>2</v>
      </c>
      <c r="G7" s="3" t="s">
        <v>3</v>
      </c>
      <c r="H7" s="3" t="s">
        <v>5</v>
      </c>
      <c r="I7" s="3" t="s">
        <v>4</v>
      </c>
      <c r="J7" s="3" t="s">
        <v>21</v>
      </c>
      <c r="K7" s="3" t="s">
        <v>22</v>
      </c>
      <c r="L7" s="3" t="s">
        <v>86</v>
      </c>
      <c r="M7" s="3" t="s">
        <v>269</v>
      </c>
      <c r="N7" s="3" t="s">
        <v>127</v>
      </c>
      <c r="O7" s="3" t="s">
        <v>93</v>
      </c>
      <c r="P7" s="3" t="s">
        <v>94</v>
      </c>
      <c r="Q7" s="3" t="s">
        <v>95</v>
      </c>
    </row>
    <row r="9" spans="2:17" ht="34.5" customHeight="1" x14ac:dyDescent="0.25">
      <c r="B9" s="8">
        <v>24</v>
      </c>
      <c r="C9" s="8" t="s">
        <v>272</v>
      </c>
      <c r="D9" s="6" t="s">
        <v>72</v>
      </c>
      <c r="E9" s="6" t="s">
        <v>28</v>
      </c>
      <c r="F9" s="6" t="s">
        <v>56</v>
      </c>
      <c r="G9" s="2"/>
      <c r="H9" s="4"/>
      <c r="I9" s="2"/>
      <c r="J9" s="2"/>
      <c r="K9" s="2"/>
      <c r="L9" s="24" t="s">
        <v>87</v>
      </c>
      <c r="M9" s="25">
        <v>45720</v>
      </c>
      <c r="N9" s="6"/>
      <c r="O9" s="4" t="s">
        <v>96</v>
      </c>
      <c r="P9" s="4"/>
      <c r="Q9" s="4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3358-0DB4-4080-A7D1-BE5105C430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DC5D-1296-4730-B3C4-599B23F43809}">
  <sheetPr>
    <pageSetUpPr fitToPage="1"/>
  </sheetPr>
  <dimension ref="B1:Q95"/>
  <sheetViews>
    <sheetView zoomScale="80" workbookViewId="0">
      <pane ySplit="7" topLeftCell="A59" activePane="bottomLeft" state="frozen"/>
      <selection pane="bottomLeft" activeCell="E16" sqref="E16"/>
    </sheetView>
  </sheetViews>
  <sheetFormatPr defaultRowHeight="15" x14ac:dyDescent="0.25"/>
  <cols>
    <col min="1" max="1" width="5.140625" customWidth="1"/>
    <col min="2" max="2" width="10" style="10" customWidth="1"/>
    <col min="3" max="3" width="9.42578125" style="10" customWidth="1"/>
    <col min="4" max="4" width="45" style="7" customWidth="1"/>
    <col min="5" max="5" width="26.140625" style="7" customWidth="1"/>
    <col min="6" max="6" width="65.140625" style="7" customWidth="1"/>
    <col min="7" max="7" width="31.28515625" hidden="1" customWidth="1"/>
    <col min="8" max="8" width="27.28515625" style="5" hidden="1" customWidth="1"/>
    <col min="9" max="9" width="41.140625" hidden="1" customWidth="1"/>
    <col min="10" max="10" width="19.140625" hidden="1" customWidth="1"/>
    <col min="11" max="11" width="13.85546875" hidden="1" customWidth="1"/>
    <col min="12" max="12" width="55" style="5" customWidth="1"/>
    <col min="13" max="13" width="26.28515625" style="5" customWidth="1"/>
    <col min="14" max="14" width="21.28515625" style="5" customWidth="1"/>
    <col min="15" max="15" width="18.5703125" style="5" customWidth="1"/>
    <col min="16" max="16" width="18.85546875" style="5" customWidth="1"/>
    <col min="17" max="17" width="23.42578125" style="5" customWidth="1"/>
  </cols>
  <sheetData>
    <row r="1" spans="2:17" ht="33.75" customHeight="1" x14ac:dyDescent="0.25">
      <c r="D1" s="18" t="s">
        <v>192</v>
      </c>
    </row>
    <row r="2" spans="2:17" x14ac:dyDescent="0.25">
      <c r="L2" s="15" t="s">
        <v>98</v>
      </c>
    </row>
    <row r="3" spans="2:17" x14ac:dyDescent="0.25">
      <c r="L3" s="16" t="s">
        <v>99</v>
      </c>
    </row>
    <row r="4" spans="2:17" x14ac:dyDescent="0.25">
      <c r="L4" s="19" t="s">
        <v>100</v>
      </c>
    </row>
    <row r="5" spans="2:17" x14ac:dyDescent="0.25">
      <c r="L5" s="26" t="s">
        <v>274</v>
      </c>
    </row>
    <row r="7" spans="2:17" ht="47.45" customHeight="1" x14ac:dyDescent="0.25">
      <c r="B7" s="3" t="s">
        <v>270</v>
      </c>
      <c r="C7" s="3" t="s">
        <v>1</v>
      </c>
      <c r="D7" s="3" t="s">
        <v>0</v>
      </c>
      <c r="E7" s="3" t="s">
        <v>1</v>
      </c>
      <c r="F7" s="3" t="s">
        <v>2</v>
      </c>
      <c r="G7" s="3" t="s">
        <v>3</v>
      </c>
      <c r="H7" s="3" t="s">
        <v>5</v>
      </c>
      <c r="I7" s="3" t="s">
        <v>4</v>
      </c>
      <c r="J7" s="3" t="s">
        <v>21</v>
      </c>
      <c r="K7" s="3" t="s">
        <v>22</v>
      </c>
      <c r="L7" s="3" t="s">
        <v>86</v>
      </c>
      <c r="M7" s="3" t="s">
        <v>269</v>
      </c>
      <c r="N7" s="3" t="s">
        <v>127</v>
      </c>
      <c r="O7" s="3" t="s">
        <v>93</v>
      </c>
      <c r="P7" s="3" t="s">
        <v>94</v>
      </c>
      <c r="Q7" s="3" t="s">
        <v>95</v>
      </c>
    </row>
    <row r="8" spans="2:17" ht="34.5" customHeight="1" x14ac:dyDescent="0.25">
      <c r="B8" s="8">
        <v>1</v>
      </c>
      <c r="C8" s="8" t="s">
        <v>272</v>
      </c>
      <c r="D8" s="13" t="s">
        <v>6</v>
      </c>
      <c r="E8" s="13" t="s">
        <v>8</v>
      </c>
      <c r="F8" s="13" t="s">
        <v>7</v>
      </c>
      <c r="G8" s="1"/>
      <c r="H8" s="4"/>
      <c r="I8" s="2"/>
      <c r="J8" s="2"/>
      <c r="K8" s="2"/>
      <c r="L8" s="14" t="s">
        <v>87</v>
      </c>
      <c r="M8" s="27">
        <v>46708</v>
      </c>
      <c r="N8" s="6"/>
      <c r="O8" s="6" t="s">
        <v>96</v>
      </c>
      <c r="P8" s="6" t="s">
        <v>96</v>
      </c>
      <c r="Q8" s="4"/>
    </row>
    <row r="9" spans="2:17" ht="34.5" customHeight="1" x14ac:dyDescent="0.25">
      <c r="B9" s="8">
        <v>2</v>
      </c>
      <c r="C9" s="8" t="s">
        <v>272</v>
      </c>
      <c r="D9" s="13" t="s">
        <v>9</v>
      </c>
      <c r="E9" s="13" t="s">
        <v>8</v>
      </c>
      <c r="F9" s="13" t="s">
        <v>10</v>
      </c>
      <c r="G9" s="1"/>
      <c r="H9" s="4"/>
      <c r="I9" s="2"/>
      <c r="J9" s="2"/>
      <c r="K9" s="2"/>
      <c r="L9" s="14" t="s">
        <v>87</v>
      </c>
      <c r="M9" s="27">
        <v>46563</v>
      </c>
      <c r="N9" s="6"/>
      <c r="O9" s="4"/>
      <c r="P9" s="4"/>
      <c r="Q9" s="4"/>
    </row>
    <row r="10" spans="2:17" ht="34.5" customHeight="1" x14ac:dyDescent="0.25">
      <c r="B10" s="8">
        <v>3</v>
      </c>
      <c r="C10" s="8" t="s">
        <v>271</v>
      </c>
      <c r="D10" s="13" t="s">
        <v>11</v>
      </c>
      <c r="E10" s="13" t="s">
        <v>12</v>
      </c>
      <c r="F10" s="13" t="s">
        <v>13</v>
      </c>
      <c r="G10" s="1"/>
      <c r="H10" s="4"/>
      <c r="I10" s="2"/>
      <c r="J10" s="2"/>
      <c r="K10" s="2"/>
      <c r="L10" s="20" t="s">
        <v>104</v>
      </c>
      <c r="M10" s="20"/>
      <c r="N10" s="6"/>
      <c r="O10" s="4"/>
      <c r="P10" s="4"/>
      <c r="Q10" s="4"/>
    </row>
    <row r="11" spans="2:17" ht="34.5" customHeight="1" x14ac:dyDescent="0.25">
      <c r="B11" s="8">
        <v>7</v>
      </c>
      <c r="C11" s="8" t="s">
        <v>273</v>
      </c>
      <c r="D11" s="13" t="s">
        <v>23</v>
      </c>
      <c r="E11" s="13" t="s">
        <v>18</v>
      </c>
      <c r="F11" s="13" t="s">
        <v>33</v>
      </c>
      <c r="G11" s="1"/>
      <c r="H11" s="1"/>
      <c r="I11" s="2"/>
      <c r="J11" s="2"/>
      <c r="K11" s="2"/>
      <c r="L11" s="14" t="s">
        <v>89</v>
      </c>
      <c r="M11" s="27">
        <v>47004</v>
      </c>
      <c r="N11" s="6"/>
      <c r="O11" s="4"/>
      <c r="P11" s="4"/>
      <c r="Q11" s="4"/>
    </row>
    <row r="12" spans="2:17" ht="34.5" customHeight="1" x14ac:dyDescent="0.25">
      <c r="B12" s="8">
        <v>8</v>
      </c>
      <c r="C12" s="8" t="s">
        <v>273</v>
      </c>
      <c r="D12" s="6" t="s">
        <v>24</v>
      </c>
      <c r="E12" s="6" t="s">
        <v>18</v>
      </c>
      <c r="F12" s="13" t="s">
        <v>33</v>
      </c>
      <c r="G12" s="2"/>
      <c r="H12" s="4"/>
      <c r="I12" s="2"/>
      <c r="J12" s="2"/>
      <c r="K12" s="2"/>
      <c r="L12" s="14" t="s">
        <v>87</v>
      </c>
      <c r="M12" s="27">
        <v>46118</v>
      </c>
      <c r="N12" s="6"/>
      <c r="O12" s="4"/>
      <c r="P12" s="4"/>
      <c r="Q12" s="4"/>
    </row>
    <row r="13" spans="2:17" ht="34.5" customHeight="1" x14ac:dyDescent="0.25">
      <c r="B13" s="8">
        <v>9</v>
      </c>
      <c r="C13" s="8" t="s">
        <v>273</v>
      </c>
      <c r="D13" s="6" t="s">
        <v>58</v>
      </c>
      <c r="E13" s="6" t="s">
        <v>18</v>
      </c>
      <c r="F13" s="13" t="s">
        <v>33</v>
      </c>
      <c r="G13" s="2"/>
      <c r="H13" s="4"/>
      <c r="I13" s="2"/>
      <c r="J13" s="2"/>
      <c r="K13" s="2"/>
      <c r="L13" s="14" t="s">
        <v>87</v>
      </c>
      <c r="M13" s="27">
        <v>46682</v>
      </c>
      <c r="N13" s="6"/>
      <c r="O13" s="4"/>
      <c r="P13" s="4"/>
      <c r="Q13" s="4"/>
    </row>
    <row r="14" spans="2:17" ht="34.5" customHeight="1" x14ac:dyDescent="0.25">
      <c r="B14" s="8">
        <v>10</v>
      </c>
      <c r="C14" s="8" t="s">
        <v>273</v>
      </c>
      <c r="D14" s="6" t="s">
        <v>63</v>
      </c>
      <c r="E14" s="13" t="s">
        <v>20</v>
      </c>
      <c r="F14" s="13" t="s">
        <v>33</v>
      </c>
      <c r="G14" s="2"/>
      <c r="H14" s="4"/>
      <c r="I14" s="2"/>
      <c r="J14" s="2"/>
      <c r="K14" s="2"/>
      <c r="L14" s="14" t="s">
        <v>87</v>
      </c>
      <c r="M14" s="27">
        <v>46735</v>
      </c>
      <c r="N14" s="6"/>
      <c r="O14" s="4"/>
      <c r="P14" s="4"/>
      <c r="Q14" s="4"/>
    </row>
    <row r="15" spans="2:17" ht="34.5" customHeight="1" x14ac:dyDescent="0.25">
      <c r="B15" s="8">
        <v>11</v>
      </c>
      <c r="C15" s="8" t="s">
        <v>273</v>
      </c>
      <c r="D15" s="6" t="s">
        <v>60</v>
      </c>
      <c r="E15" s="6" t="s">
        <v>28</v>
      </c>
      <c r="F15" s="6" t="s">
        <v>31</v>
      </c>
      <c r="G15" s="2"/>
      <c r="H15" s="4"/>
      <c r="I15" s="2"/>
      <c r="J15" s="2"/>
      <c r="K15" s="2"/>
      <c r="L15" s="14" t="s">
        <v>87</v>
      </c>
      <c r="M15" s="27">
        <v>46181</v>
      </c>
      <c r="N15" s="6"/>
      <c r="O15" s="4"/>
      <c r="P15" s="4"/>
      <c r="Q15" s="4"/>
    </row>
    <row r="16" spans="2:17" ht="34.5" customHeight="1" x14ac:dyDescent="0.25">
      <c r="B16" s="8">
        <v>12</v>
      </c>
      <c r="C16" s="8" t="s">
        <v>275</v>
      </c>
      <c r="D16" s="6" t="s">
        <v>61</v>
      </c>
      <c r="E16" s="6" t="s">
        <v>18</v>
      </c>
      <c r="F16" s="13" t="s">
        <v>33</v>
      </c>
      <c r="G16" s="2"/>
      <c r="H16" s="4"/>
      <c r="I16" s="2"/>
      <c r="J16" s="2"/>
      <c r="K16" s="2"/>
      <c r="L16" s="14" t="s">
        <v>87</v>
      </c>
      <c r="M16" s="27">
        <v>46130</v>
      </c>
      <c r="N16" s="6"/>
      <c r="O16" s="4"/>
      <c r="P16" s="4"/>
      <c r="Q16" s="4"/>
    </row>
    <row r="17" spans="2:17" ht="34.5" customHeight="1" x14ac:dyDescent="0.25">
      <c r="B17" s="8">
        <v>13</v>
      </c>
      <c r="C17" s="8" t="s">
        <v>275</v>
      </c>
      <c r="D17" s="6" t="s">
        <v>62</v>
      </c>
      <c r="E17" s="6" t="s">
        <v>28</v>
      </c>
      <c r="F17" s="13" t="s">
        <v>33</v>
      </c>
      <c r="G17" s="2"/>
      <c r="H17" s="4"/>
      <c r="I17" s="2"/>
      <c r="J17" s="2"/>
      <c r="K17" s="2"/>
      <c r="L17" s="14" t="s">
        <v>87</v>
      </c>
      <c r="M17" s="27">
        <v>46549</v>
      </c>
      <c r="N17" s="6"/>
      <c r="O17" s="4" t="s">
        <v>96</v>
      </c>
      <c r="P17" s="4"/>
      <c r="Q17" s="4"/>
    </row>
    <row r="18" spans="2:17" ht="34.5" customHeight="1" x14ac:dyDescent="0.25">
      <c r="B18" s="8">
        <v>14</v>
      </c>
      <c r="C18" s="8" t="s">
        <v>273</v>
      </c>
      <c r="D18" s="6" t="s">
        <v>64</v>
      </c>
      <c r="E18" s="6" t="s">
        <v>18</v>
      </c>
      <c r="F18" s="13" t="s">
        <v>29</v>
      </c>
      <c r="G18" s="2"/>
      <c r="H18" s="4"/>
      <c r="I18" s="2"/>
      <c r="J18" s="2"/>
      <c r="K18" s="2"/>
      <c r="L18" s="14" t="s">
        <v>87</v>
      </c>
      <c r="M18" s="27">
        <v>46771</v>
      </c>
      <c r="N18" s="6"/>
      <c r="O18" s="4"/>
      <c r="P18" s="4"/>
      <c r="Q18" s="4"/>
    </row>
    <row r="19" spans="2:17" ht="34.5" customHeight="1" x14ac:dyDescent="0.25">
      <c r="B19" s="8">
        <v>15</v>
      </c>
      <c r="C19" s="8" t="s">
        <v>273</v>
      </c>
      <c r="D19" s="6" t="s">
        <v>97</v>
      </c>
      <c r="E19" s="6" t="s">
        <v>18</v>
      </c>
      <c r="F19" s="6" t="s">
        <v>32</v>
      </c>
      <c r="G19" s="2"/>
      <c r="H19" s="4"/>
      <c r="I19" s="2"/>
      <c r="J19" s="2"/>
      <c r="K19" s="2"/>
      <c r="L19" s="20" t="s">
        <v>102</v>
      </c>
      <c r="M19" s="20"/>
      <c r="N19" s="6"/>
      <c r="O19" s="4"/>
      <c r="P19" s="4"/>
      <c r="Q19" s="4"/>
    </row>
    <row r="20" spans="2:17" ht="34.5" customHeight="1" x14ac:dyDescent="0.25">
      <c r="B20" s="8">
        <v>16</v>
      </c>
      <c r="C20" s="8" t="s">
        <v>272</v>
      </c>
      <c r="D20" s="6" t="s">
        <v>65</v>
      </c>
      <c r="E20" s="6" t="s">
        <v>28</v>
      </c>
      <c r="F20" s="6" t="s">
        <v>30</v>
      </c>
      <c r="G20" s="2"/>
      <c r="H20" s="4"/>
      <c r="I20" s="2"/>
      <c r="J20" s="2"/>
      <c r="K20" s="2"/>
      <c r="L20" s="14" t="s">
        <v>87</v>
      </c>
      <c r="M20" s="27">
        <v>46849</v>
      </c>
      <c r="N20" s="6"/>
      <c r="O20" s="4" t="s">
        <v>96</v>
      </c>
      <c r="P20" s="4"/>
      <c r="Q20" s="4"/>
    </row>
    <row r="21" spans="2:17" ht="34.5" customHeight="1" x14ac:dyDescent="0.25">
      <c r="B21" s="8">
        <v>17</v>
      </c>
      <c r="C21" s="8" t="s">
        <v>272</v>
      </c>
      <c r="D21" s="6" t="s">
        <v>66</v>
      </c>
      <c r="E21" s="6" t="s">
        <v>28</v>
      </c>
      <c r="F21" s="6" t="s">
        <v>30</v>
      </c>
      <c r="G21" s="2"/>
      <c r="H21" s="4"/>
      <c r="I21" s="2"/>
      <c r="J21" s="2"/>
      <c r="K21" s="2"/>
      <c r="L21" s="14" t="s">
        <v>90</v>
      </c>
      <c r="M21" s="27">
        <v>46183</v>
      </c>
      <c r="N21" s="6"/>
      <c r="O21" s="4" t="s">
        <v>96</v>
      </c>
      <c r="P21" s="4"/>
      <c r="Q21" s="4"/>
    </row>
    <row r="22" spans="2:17" ht="34.5" customHeight="1" x14ac:dyDescent="0.25">
      <c r="B22" s="8">
        <v>18</v>
      </c>
      <c r="C22" s="8" t="s">
        <v>272</v>
      </c>
      <c r="D22" s="6" t="s">
        <v>67</v>
      </c>
      <c r="E22" s="6" t="s">
        <v>28</v>
      </c>
      <c r="F22" s="6" t="s">
        <v>30</v>
      </c>
      <c r="G22" s="2"/>
      <c r="H22" s="4"/>
      <c r="I22" s="2"/>
      <c r="J22" s="2"/>
      <c r="K22" s="2"/>
      <c r="L22" s="14" t="s">
        <v>87</v>
      </c>
      <c r="M22" s="27">
        <v>46399</v>
      </c>
      <c r="N22" s="6"/>
      <c r="O22" s="6" t="s">
        <v>96</v>
      </c>
      <c r="P22" s="6" t="s">
        <v>96</v>
      </c>
      <c r="Q22" s="4"/>
    </row>
    <row r="23" spans="2:17" ht="34.5" customHeight="1" x14ac:dyDescent="0.25">
      <c r="B23" s="8">
        <v>19</v>
      </c>
      <c r="C23" s="8" t="s">
        <v>273</v>
      </c>
      <c r="D23" s="6" t="s">
        <v>70</v>
      </c>
      <c r="E23" s="13" t="s">
        <v>20</v>
      </c>
      <c r="F23" s="13" t="s">
        <v>33</v>
      </c>
      <c r="G23" s="2"/>
      <c r="H23" s="4"/>
      <c r="I23" s="2"/>
      <c r="J23" s="2"/>
      <c r="K23" s="2"/>
      <c r="L23" s="14" t="s">
        <v>91</v>
      </c>
      <c r="M23" s="27">
        <v>46550</v>
      </c>
      <c r="N23" s="6"/>
      <c r="O23" s="4"/>
      <c r="P23" s="4"/>
      <c r="Q23" s="4"/>
    </row>
    <row r="24" spans="2:17" ht="34.5" customHeight="1" x14ac:dyDescent="0.25">
      <c r="B24" s="8">
        <v>23</v>
      </c>
      <c r="C24" s="8" t="s">
        <v>272</v>
      </c>
      <c r="D24" s="6" t="s">
        <v>71</v>
      </c>
      <c r="E24" s="6" t="s">
        <v>28</v>
      </c>
      <c r="F24" s="6" t="s">
        <v>34</v>
      </c>
      <c r="G24" s="2"/>
      <c r="H24" s="4"/>
      <c r="I24" s="2"/>
      <c r="J24" s="2"/>
      <c r="K24" s="2"/>
      <c r="L24" s="14" t="s">
        <v>87</v>
      </c>
      <c r="M24" s="27">
        <v>46430</v>
      </c>
      <c r="N24" s="6"/>
      <c r="O24" s="6" t="s">
        <v>96</v>
      </c>
      <c r="P24" s="6" t="s">
        <v>96</v>
      </c>
      <c r="Q24" s="4"/>
    </row>
    <row r="25" spans="2:17" ht="34.5" customHeight="1" x14ac:dyDescent="0.25">
      <c r="B25" s="8">
        <v>24</v>
      </c>
      <c r="C25" s="8" t="s">
        <v>272</v>
      </c>
      <c r="D25" s="6" t="s">
        <v>72</v>
      </c>
      <c r="E25" s="6" t="s">
        <v>28</v>
      </c>
      <c r="F25" s="6" t="s">
        <v>56</v>
      </c>
      <c r="G25" s="2"/>
      <c r="H25" s="4"/>
      <c r="I25" s="2"/>
      <c r="J25" s="2"/>
      <c r="K25" s="2"/>
      <c r="L25" s="24" t="s">
        <v>87</v>
      </c>
      <c r="M25" s="25">
        <v>45720</v>
      </c>
      <c r="N25" s="6"/>
      <c r="O25" s="4" t="s">
        <v>96</v>
      </c>
      <c r="P25" s="4"/>
      <c r="Q25" s="4"/>
    </row>
    <row r="26" spans="2:17" ht="34.5" customHeight="1" x14ac:dyDescent="0.25">
      <c r="B26" s="8">
        <v>25</v>
      </c>
      <c r="C26" s="8" t="s">
        <v>272</v>
      </c>
      <c r="D26" s="6" t="s">
        <v>73</v>
      </c>
      <c r="E26" s="6" t="s">
        <v>28</v>
      </c>
      <c r="F26" s="6" t="s">
        <v>38</v>
      </c>
      <c r="G26" s="2"/>
      <c r="H26" s="4"/>
      <c r="I26" s="2"/>
      <c r="J26" s="2"/>
      <c r="K26" s="2"/>
      <c r="L26" s="14" t="s">
        <v>87</v>
      </c>
      <c r="M26" s="27">
        <v>46720</v>
      </c>
      <c r="N26" s="6"/>
      <c r="O26" s="4" t="s">
        <v>96</v>
      </c>
      <c r="P26" s="4"/>
      <c r="Q26" s="4"/>
    </row>
    <row r="27" spans="2:17" ht="34.5" customHeight="1" x14ac:dyDescent="0.25">
      <c r="B27" s="8">
        <v>26</v>
      </c>
      <c r="C27" s="8" t="s">
        <v>272</v>
      </c>
      <c r="D27" s="11" t="s">
        <v>26</v>
      </c>
      <c r="E27" s="6" t="s">
        <v>28</v>
      </c>
      <c r="F27" s="6" t="s">
        <v>35</v>
      </c>
      <c r="G27" s="2"/>
      <c r="H27" s="4"/>
      <c r="I27" s="2"/>
      <c r="J27" s="2"/>
      <c r="K27" s="2"/>
      <c r="L27" s="14" t="s">
        <v>87</v>
      </c>
      <c r="M27" s="27">
        <v>46493</v>
      </c>
      <c r="N27" s="6"/>
      <c r="O27" s="4"/>
      <c r="P27" s="4"/>
      <c r="Q27" s="4"/>
    </row>
    <row r="28" spans="2:17" ht="34.5" customHeight="1" x14ac:dyDescent="0.25">
      <c r="B28" s="8">
        <v>28</v>
      </c>
      <c r="C28" s="8" t="s">
        <v>272</v>
      </c>
      <c r="D28" s="6" t="s">
        <v>75</v>
      </c>
      <c r="E28" s="6" t="s">
        <v>28</v>
      </c>
      <c r="F28" s="6" t="s">
        <v>36</v>
      </c>
      <c r="G28" s="2"/>
      <c r="H28" s="4"/>
      <c r="I28" s="2"/>
      <c r="J28" s="2"/>
      <c r="K28" s="2"/>
      <c r="L28" s="20" t="s">
        <v>106</v>
      </c>
      <c r="M28" s="20"/>
      <c r="N28" s="6"/>
      <c r="O28" s="4"/>
      <c r="P28" s="4"/>
      <c r="Q28" s="4"/>
    </row>
    <row r="29" spans="2:17" ht="34.5" customHeight="1" x14ac:dyDescent="0.25">
      <c r="B29" s="8">
        <v>29</v>
      </c>
      <c r="C29" s="8" t="s">
        <v>272</v>
      </c>
      <c r="D29" s="6" t="s">
        <v>76</v>
      </c>
      <c r="E29" s="6" t="s">
        <v>28</v>
      </c>
      <c r="F29" s="6" t="s">
        <v>56</v>
      </c>
      <c r="G29" s="2"/>
      <c r="H29" s="4"/>
      <c r="I29" s="2"/>
      <c r="J29" s="2"/>
      <c r="K29" s="2"/>
      <c r="L29" s="14" t="s">
        <v>87</v>
      </c>
      <c r="M29" s="27">
        <v>46794</v>
      </c>
      <c r="N29" s="6"/>
      <c r="O29" s="6" t="s">
        <v>96</v>
      </c>
      <c r="P29" s="6" t="s">
        <v>96</v>
      </c>
      <c r="Q29" s="4"/>
    </row>
    <row r="30" spans="2:17" ht="34.5" customHeight="1" x14ac:dyDescent="0.25">
      <c r="B30" s="8">
        <v>30</v>
      </c>
      <c r="C30" s="8" t="s">
        <v>273</v>
      </c>
      <c r="D30" s="6" t="s">
        <v>40</v>
      </c>
      <c r="E30" s="6" t="s">
        <v>43</v>
      </c>
      <c r="F30" s="6" t="s">
        <v>44</v>
      </c>
      <c r="G30" s="2"/>
      <c r="H30" s="4"/>
      <c r="I30" s="2"/>
      <c r="J30" s="2"/>
      <c r="K30" s="2"/>
      <c r="L30" s="14" t="s">
        <v>87</v>
      </c>
      <c r="M30" s="27">
        <v>46641</v>
      </c>
      <c r="N30" s="6"/>
      <c r="O30" s="4"/>
      <c r="P30" s="4"/>
      <c r="Q30" s="4"/>
    </row>
    <row r="31" spans="2:17" ht="34.5" customHeight="1" x14ac:dyDescent="0.25">
      <c r="B31" s="8">
        <v>34</v>
      </c>
      <c r="C31" s="8" t="s">
        <v>272</v>
      </c>
      <c r="D31" s="6" t="s">
        <v>92</v>
      </c>
      <c r="E31" s="6" t="s">
        <v>28</v>
      </c>
      <c r="F31" s="6" t="s">
        <v>47</v>
      </c>
      <c r="G31" s="2"/>
      <c r="H31" s="4"/>
      <c r="I31" s="2"/>
      <c r="J31" s="2"/>
      <c r="K31" s="2"/>
      <c r="L31" s="20" t="s">
        <v>103</v>
      </c>
      <c r="M31" s="20"/>
      <c r="N31" s="6"/>
      <c r="O31" s="4"/>
      <c r="P31" s="4"/>
      <c r="Q31" s="4"/>
    </row>
    <row r="32" spans="2:17" ht="34.5" customHeight="1" x14ac:dyDescent="0.25">
      <c r="B32" s="8">
        <v>38</v>
      </c>
      <c r="C32" s="8" t="s">
        <v>273</v>
      </c>
      <c r="D32" s="6" t="s">
        <v>80</v>
      </c>
      <c r="E32" s="6" t="s">
        <v>18</v>
      </c>
      <c r="F32" s="6" t="s">
        <v>30</v>
      </c>
      <c r="G32" s="2"/>
      <c r="H32" s="4"/>
      <c r="I32" s="2"/>
      <c r="J32" s="2"/>
      <c r="K32" s="2"/>
      <c r="L32" s="14" t="s">
        <v>87</v>
      </c>
      <c r="M32" s="27">
        <v>46741</v>
      </c>
      <c r="N32" s="6"/>
      <c r="O32" s="4"/>
      <c r="P32" s="4"/>
      <c r="Q32" s="4"/>
    </row>
    <row r="33" spans="2:17" ht="34.5" customHeight="1" x14ac:dyDescent="0.25">
      <c r="B33" s="8">
        <v>39</v>
      </c>
      <c r="C33" s="8" t="s">
        <v>272</v>
      </c>
      <c r="D33" s="6" t="s">
        <v>57</v>
      </c>
      <c r="E33" s="6" t="s">
        <v>8</v>
      </c>
      <c r="F33" s="11" t="s">
        <v>50</v>
      </c>
      <c r="G33" s="2"/>
      <c r="H33" s="4"/>
      <c r="I33" s="2"/>
      <c r="J33" s="2"/>
      <c r="K33" s="2"/>
      <c r="L33" s="24" t="s">
        <v>281</v>
      </c>
      <c r="M33" s="25">
        <v>45620</v>
      </c>
      <c r="N33" s="6"/>
      <c r="O33" s="4"/>
      <c r="P33" s="4"/>
      <c r="Q33" s="4"/>
    </row>
    <row r="34" spans="2:17" ht="34.5" customHeight="1" x14ac:dyDescent="0.25">
      <c r="B34" s="8">
        <v>41</v>
      </c>
      <c r="C34" s="8" t="s">
        <v>272</v>
      </c>
      <c r="D34" s="6" t="s">
        <v>81</v>
      </c>
      <c r="E34" s="6" t="s">
        <v>28</v>
      </c>
      <c r="F34" s="6" t="s">
        <v>47</v>
      </c>
      <c r="G34" s="2"/>
      <c r="H34" s="4"/>
      <c r="I34" s="2"/>
      <c r="J34" s="2"/>
      <c r="K34" s="2"/>
      <c r="L34" s="14" t="s">
        <v>87</v>
      </c>
      <c r="M34" s="27">
        <v>46222</v>
      </c>
      <c r="N34" s="6"/>
      <c r="O34" s="6" t="s">
        <v>96</v>
      </c>
      <c r="P34" s="6" t="s">
        <v>96</v>
      </c>
      <c r="Q34" s="4"/>
    </row>
    <row r="35" spans="2:17" ht="34.5" customHeight="1" x14ac:dyDescent="0.25">
      <c r="B35" s="8">
        <v>42</v>
      </c>
      <c r="C35" s="8" t="s">
        <v>272</v>
      </c>
      <c r="D35" s="6" t="s">
        <v>82</v>
      </c>
      <c r="E35" s="6" t="s">
        <v>45</v>
      </c>
      <c r="F35" s="6" t="s">
        <v>51</v>
      </c>
      <c r="G35" s="2"/>
      <c r="H35" s="4"/>
      <c r="I35" s="2"/>
      <c r="J35" s="2"/>
      <c r="K35" s="2"/>
      <c r="L35" s="14" t="s">
        <v>87</v>
      </c>
      <c r="M35" s="27">
        <v>46753</v>
      </c>
      <c r="N35" s="6"/>
      <c r="O35" s="6" t="s">
        <v>96</v>
      </c>
      <c r="P35" s="6" t="s">
        <v>96</v>
      </c>
      <c r="Q35" s="4"/>
    </row>
    <row r="36" spans="2:17" ht="34.5" customHeight="1" x14ac:dyDescent="0.25">
      <c r="B36" s="8">
        <v>43</v>
      </c>
      <c r="C36" s="8" t="s">
        <v>272</v>
      </c>
      <c r="D36" s="6" t="s">
        <v>52</v>
      </c>
      <c r="E36" s="6" t="s">
        <v>45</v>
      </c>
      <c r="F36" s="6" t="s">
        <v>51</v>
      </c>
      <c r="G36" s="2"/>
      <c r="H36" s="4"/>
      <c r="I36" s="2"/>
      <c r="J36" s="2"/>
      <c r="K36" s="2"/>
      <c r="L36" s="24" t="s">
        <v>281</v>
      </c>
      <c r="M36" s="25">
        <v>45682</v>
      </c>
      <c r="N36" s="6"/>
      <c r="O36" s="4" t="s">
        <v>96</v>
      </c>
      <c r="P36" s="4"/>
      <c r="Q36" s="4"/>
    </row>
    <row r="37" spans="2:17" ht="34.5" customHeight="1" x14ac:dyDescent="0.25">
      <c r="B37" s="8">
        <v>44</v>
      </c>
      <c r="C37" s="8" t="s">
        <v>272</v>
      </c>
      <c r="D37" s="6" t="s">
        <v>53</v>
      </c>
      <c r="E37" s="6" t="s">
        <v>28</v>
      </c>
      <c r="F37" s="6" t="s">
        <v>47</v>
      </c>
      <c r="G37" s="2"/>
      <c r="H37" s="4"/>
      <c r="I37" s="2"/>
      <c r="J37" s="2"/>
      <c r="K37" s="2"/>
      <c r="L37" s="14" t="s">
        <v>87</v>
      </c>
      <c r="M37" s="27">
        <v>46307</v>
      </c>
      <c r="N37" s="6"/>
      <c r="O37" s="6" t="s">
        <v>96</v>
      </c>
      <c r="P37" s="6" t="s">
        <v>96</v>
      </c>
      <c r="Q37" s="4"/>
    </row>
    <row r="38" spans="2:17" ht="34.5" customHeight="1" x14ac:dyDescent="0.25">
      <c r="B38" s="8">
        <v>45</v>
      </c>
      <c r="C38" s="8" t="s">
        <v>272</v>
      </c>
      <c r="D38" s="6" t="s">
        <v>83</v>
      </c>
      <c r="E38" s="6" t="s">
        <v>28</v>
      </c>
      <c r="F38" s="6" t="s">
        <v>54</v>
      </c>
      <c r="G38" s="2"/>
      <c r="H38" s="4"/>
      <c r="I38" s="2"/>
      <c r="J38" s="2"/>
      <c r="K38" s="2"/>
      <c r="L38" s="14" t="s">
        <v>87</v>
      </c>
      <c r="M38" s="27">
        <v>46490</v>
      </c>
      <c r="N38" s="6"/>
      <c r="O38" s="6" t="s">
        <v>96</v>
      </c>
      <c r="P38" s="6" t="s">
        <v>96</v>
      </c>
      <c r="Q38" s="4"/>
    </row>
    <row r="39" spans="2:17" ht="34.5" customHeight="1" x14ac:dyDescent="0.25">
      <c r="B39" s="8">
        <v>46</v>
      </c>
      <c r="C39" s="8" t="s">
        <v>273</v>
      </c>
      <c r="D39" s="6" t="s">
        <v>84</v>
      </c>
      <c r="E39" s="6" t="s">
        <v>18</v>
      </c>
      <c r="F39" s="6" t="s">
        <v>33</v>
      </c>
      <c r="G39" s="2"/>
      <c r="H39" s="4"/>
      <c r="I39" s="2"/>
      <c r="J39" s="2"/>
      <c r="K39" s="2"/>
      <c r="L39" s="14" t="s">
        <v>87</v>
      </c>
      <c r="M39" s="27">
        <v>46538</v>
      </c>
      <c r="N39" s="6"/>
      <c r="O39" s="4"/>
      <c r="P39" s="4"/>
      <c r="Q39" s="4"/>
    </row>
    <row r="40" spans="2:17" ht="34.5" customHeight="1" x14ac:dyDescent="0.25">
      <c r="B40" s="8">
        <v>47</v>
      </c>
      <c r="C40" s="8" t="s">
        <v>272</v>
      </c>
      <c r="D40" s="6" t="s">
        <v>55</v>
      </c>
      <c r="E40" s="6" t="s">
        <v>28</v>
      </c>
      <c r="F40" s="6" t="s">
        <v>56</v>
      </c>
      <c r="G40" s="2"/>
      <c r="H40" s="4"/>
      <c r="I40" s="2"/>
      <c r="J40" s="2"/>
      <c r="K40" s="2"/>
      <c r="L40" s="14" t="s">
        <v>90</v>
      </c>
      <c r="M40" s="27">
        <v>46193</v>
      </c>
      <c r="N40" s="6"/>
      <c r="O40" s="4" t="s">
        <v>96</v>
      </c>
      <c r="P40" s="4"/>
      <c r="Q40" s="4"/>
    </row>
    <row r="41" spans="2:17" ht="34.5" customHeight="1" x14ac:dyDescent="0.25">
      <c r="B41" s="8">
        <v>48</v>
      </c>
      <c r="C41" s="8" t="s">
        <v>271</v>
      </c>
      <c r="D41" s="6" t="s">
        <v>108</v>
      </c>
      <c r="E41" s="6" t="s">
        <v>28</v>
      </c>
      <c r="F41" s="6" t="s">
        <v>118</v>
      </c>
      <c r="G41" s="2"/>
      <c r="H41" s="4"/>
      <c r="I41" s="2"/>
      <c r="J41" s="2"/>
      <c r="K41" s="2"/>
      <c r="L41" s="24" t="s">
        <v>87</v>
      </c>
      <c r="M41" s="25">
        <v>45538</v>
      </c>
      <c r="N41" s="6"/>
      <c r="O41" s="4" t="s">
        <v>96</v>
      </c>
      <c r="P41" s="4"/>
      <c r="Q41" s="4"/>
    </row>
    <row r="42" spans="2:17" ht="34.5" customHeight="1" x14ac:dyDescent="0.25">
      <c r="B42" s="8">
        <v>49</v>
      </c>
      <c r="C42" s="8" t="s">
        <v>275</v>
      </c>
      <c r="D42" s="6" t="s">
        <v>110</v>
      </c>
      <c r="E42" s="6" t="s">
        <v>18</v>
      </c>
      <c r="F42" s="6" t="s">
        <v>33</v>
      </c>
      <c r="G42" s="2"/>
      <c r="H42" s="4"/>
      <c r="I42" s="2"/>
      <c r="J42" s="2"/>
      <c r="K42" s="2"/>
      <c r="L42" s="14" t="s">
        <v>87</v>
      </c>
      <c r="M42" s="27">
        <v>46132</v>
      </c>
      <c r="N42" s="6"/>
      <c r="O42" s="4"/>
      <c r="P42" s="4"/>
      <c r="Q42" s="4"/>
    </row>
    <row r="43" spans="2:17" ht="34.5" customHeight="1" x14ac:dyDescent="0.25">
      <c r="B43" s="8">
        <v>50</v>
      </c>
      <c r="C43" s="8" t="s">
        <v>272</v>
      </c>
      <c r="D43" s="6" t="s">
        <v>119</v>
      </c>
      <c r="E43" s="6" t="s">
        <v>28</v>
      </c>
      <c r="F43" s="6" t="s">
        <v>120</v>
      </c>
      <c r="G43" s="2"/>
      <c r="H43" s="4"/>
      <c r="I43" s="2"/>
      <c r="J43" s="2"/>
      <c r="K43" s="2"/>
      <c r="L43" s="14" t="s">
        <v>87</v>
      </c>
      <c r="M43" s="27">
        <v>46521</v>
      </c>
      <c r="N43" s="21">
        <v>45355</v>
      </c>
      <c r="O43" s="4" t="s">
        <v>96</v>
      </c>
      <c r="P43" s="4"/>
      <c r="Q43" s="4"/>
    </row>
    <row r="44" spans="2:17" ht="34.5" customHeight="1" x14ac:dyDescent="0.25">
      <c r="B44" s="8">
        <v>51</v>
      </c>
      <c r="C44" s="8" t="s">
        <v>272</v>
      </c>
      <c r="D44" s="6" t="s">
        <v>116</v>
      </c>
      <c r="E44" s="6" t="s">
        <v>45</v>
      </c>
      <c r="F44" s="6" t="s">
        <v>33</v>
      </c>
      <c r="G44" s="2"/>
      <c r="H44" s="4"/>
      <c r="I44" s="2"/>
      <c r="J44" s="2"/>
      <c r="K44" s="2"/>
      <c r="L44" s="20" t="s">
        <v>117</v>
      </c>
      <c r="M44" s="20"/>
      <c r="N44" s="21">
        <v>45363</v>
      </c>
      <c r="O44" s="6" t="s">
        <v>96</v>
      </c>
      <c r="P44" s="6" t="s">
        <v>96</v>
      </c>
      <c r="Q44" s="4"/>
    </row>
    <row r="45" spans="2:17" ht="34.5" customHeight="1" x14ac:dyDescent="0.25">
      <c r="B45" s="8">
        <v>52</v>
      </c>
      <c r="C45" s="8" t="s">
        <v>273</v>
      </c>
      <c r="D45" s="6" t="s">
        <v>115</v>
      </c>
      <c r="E45" s="6" t="s">
        <v>18</v>
      </c>
      <c r="F45" s="6" t="s">
        <v>114</v>
      </c>
      <c r="G45" s="2"/>
      <c r="H45" s="4"/>
      <c r="I45" s="2"/>
      <c r="J45" s="2"/>
      <c r="K45" s="2"/>
      <c r="L45" s="14" t="s">
        <v>91</v>
      </c>
      <c r="M45" s="27">
        <v>46160</v>
      </c>
      <c r="N45" s="21">
        <v>45369</v>
      </c>
      <c r="O45" s="6" t="s">
        <v>96</v>
      </c>
      <c r="P45" s="6" t="s">
        <v>96</v>
      </c>
      <c r="Q45" s="4"/>
    </row>
    <row r="46" spans="2:17" ht="34.5" customHeight="1" x14ac:dyDescent="0.25">
      <c r="B46" s="8">
        <v>53</v>
      </c>
      <c r="C46" s="8" t="s">
        <v>273</v>
      </c>
      <c r="D46" s="6" t="s">
        <v>128</v>
      </c>
      <c r="E46" s="6" t="s">
        <v>18</v>
      </c>
      <c r="F46" s="6" t="s">
        <v>33</v>
      </c>
      <c r="G46" s="2"/>
      <c r="H46" s="4"/>
      <c r="I46" s="2"/>
      <c r="J46" s="2"/>
      <c r="K46" s="2"/>
      <c r="L46" s="6" t="s">
        <v>129</v>
      </c>
      <c r="M46" s="6"/>
      <c r="N46" s="21">
        <v>45376</v>
      </c>
      <c r="O46" s="4"/>
      <c r="P46" s="4"/>
      <c r="Q46" s="4"/>
    </row>
    <row r="47" spans="2:17" ht="34.5" customHeight="1" x14ac:dyDescent="0.25">
      <c r="B47" s="8">
        <v>54</v>
      </c>
      <c r="C47" s="8" t="s">
        <v>273</v>
      </c>
      <c r="D47" s="6" t="s">
        <v>112</v>
      </c>
      <c r="E47" s="6" t="s">
        <v>28</v>
      </c>
      <c r="F47" s="6" t="s">
        <v>113</v>
      </c>
      <c r="G47" s="2"/>
      <c r="H47" s="4"/>
      <c r="I47" s="2"/>
      <c r="J47" s="2"/>
      <c r="K47" s="2"/>
      <c r="L47" s="14" t="s">
        <v>87</v>
      </c>
      <c r="M47" s="27">
        <v>46488</v>
      </c>
      <c r="N47" s="21">
        <v>45385</v>
      </c>
      <c r="O47" s="4"/>
      <c r="P47" s="4"/>
      <c r="Q47" s="4"/>
    </row>
    <row r="48" spans="2:17" ht="34.5" customHeight="1" x14ac:dyDescent="0.25">
      <c r="B48" s="8">
        <v>55</v>
      </c>
      <c r="C48" s="8" t="s">
        <v>273</v>
      </c>
      <c r="D48" s="6" t="s">
        <v>109</v>
      </c>
      <c r="E48" s="6" t="s">
        <v>28</v>
      </c>
      <c r="F48" s="6" t="s">
        <v>111</v>
      </c>
      <c r="G48" s="2"/>
      <c r="H48" s="4"/>
      <c r="I48" s="2"/>
      <c r="J48" s="2"/>
      <c r="K48" s="2"/>
      <c r="L48" s="14" t="s">
        <v>87</v>
      </c>
      <c r="M48" s="27">
        <v>46597</v>
      </c>
      <c r="N48" s="21">
        <v>45392</v>
      </c>
      <c r="O48" s="4"/>
      <c r="P48" s="4"/>
      <c r="Q48" s="4"/>
    </row>
    <row r="49" spans="2:17" ht="34.5" customHeight="1" x14ac:dyDescent="0.25">
      <c r="B49" s="8">
        <v>56</v>
      </c>
      <c r="C49" s="8" t="s">
        <v>273</v>
      </c>
      <c r="D49" s="6" t="s">
        <v>121</v>
      </c>
      <c r="E49" s="6" t="s">
        <v>18</v>
      </c>
      <c r="F49" s="6" t="s">
        <v>33</v>
      </c>
      <c r="G49" s="2"/>
      <c r="H49" s="4"/>
      <c r="I49" s="2"/>
      <c r="J49" s="2"/>
      <c r="K49" s="2"/>
      <c r="L49" s="14" t="s">
        <v>87</v>
      </c>
      <c r="M49" s="27">
        <v>46434</v>
      </c>
      <c r="N49" s="21">
        <v>45394</v>
      </c>
      <c r="O49" s="4"/>
      <c r="P49" s="4"/>
      <c r="Q49" s="4"/>
    </row>
    <row r="50" spans="2:17" ht="34.5" customHeight="1" x14ac:dyDescent="0.25">
      <c r="B50" s="8">
        <v>57</v>
      </c>
      <c r="C50" s="8" t="s">
        <v>273</v>
      </c>
      <c r="D50" s="6" t="s">
        <v>125</v>
      </c>
      <c r="E50" s="6" t="s">
        <v>28</v>
      </c>
      <c r="F50" s="6" t="s">
        <v>33</v>
      </c>
      <c r="G50" s="2"/>
      <c r="H50" s="4"/>
      <c r="I50" s="2"/>
      <c r="J50" s="2"/>
      <c r="K50" s="2"/>
      <c r="L50" s="24" t="s">
        <v>87</v>
      </c>
      <c r="M50" s="25">
        <v>45683</v>
      </c>
      <c r="N50" s="21">
        <v>45399</v>
      </c>
      <c r="O50" s="4"/>
      <c r="P50" s="4"/>
      <c r="Q50" s="4"/>
    </row>
    <row r="51" spans="2:17" ht="34.5" customHeight="1" x14ac:dyDescent="0.25">
      <c r="B51" s="8">
        <v>58</v>
      </c>
      <c r="C51" s="8" t="s">
        <v>277</v>
      </c>
      <c r="D51" s="6" t="s">
        <v>122</v>
      </c>
      <c r="E51" s="6" t="s">
        <v>28</v>
      </c>
      <c r="F51" s="6" t="s">
        <v>123</v>
      </c>
      <c r="G51" s="2"/>
      <c r="H51" s="4"/>
      <c r="I51" s="2"/>
      <c r="J51" s="2"/>
      <c r="K51" s="2"/>
      <c r="L51" s="14" t="s">
        <v>87</v>
      </c>
      <c r="M51" s="27">
        <v>46221</v>
      </c>
      <c r="N51" s="21">
        <v>45404</v>
      </c>
      <c r="O51" s="6" t="s">
        <v>96</v>
      </c>
      <c r="P51" s="6" t="s">
        <v>96</v>
      </c>
      <c r="Q51" s="4"/>
    </row>
    <row r="52" spans="2:17" ht="34.5" customHeight="1" x14ac:dyDescent="0.25">
      <c r="B52" s="8">
        <v>59</v>
      </c>
      <c r="C52" s="8" t="s">
        <v>275</v>
      </c>
      <c r="D52" s="6" t="s">
        <v>124</v>
      </c>
      <c r="E52" s="6" t="s">
        <v>28</v>
      </c>
      <c r="F52" s="6" t="s">
        <v>123</v>
      </c>
      <c r="G52" s="2"/>
      <c r="H52" s="4"/>
      <c r="I52" s="2"/>
      <c r="J52" s="2"/>
      <c r="K52" s="2"/>
      <c r="L52" s="14" t="s">
        <v>87</v>
      </c>
      <c r="M52" s="27">
        <v>46532</v>
      </c>
      <c r="N52" s="21">
        <v>45404</v>
      </c>
      <c r="O52" s="4"/>
      <c r="P52" s="4"/>
      <c r="Q52" s="4"/>
    </row>
    <row r="53" spans="2:17" ht="34.5" customHeight="1" x14ac:dyDescent="0.25">
      <c r="B53" s="8">
        <v>60</v>
      </c>
      <c r="C53" s="8" t="s">
        <v>277</v>
      </c>
      <c r="D53" s="6" t="s">
        <v>126</v>
      </c>
      <c r="E53" s="6" t="s">
        <v>28</v>
      </c>
      <c r="F53" s="6" t="s">
        <v>35</v>
      </c>
      <c r="G53" s="2"/>
      <c r="H53" s="4"/>
      <c r="I53" s="2"/>
      <c r="J53" s="2"/>
      <c r="K53" s="2"/>
      <c r="L53" s="14" t="s">
        <v>87</v>
      </c>
      <c r="M53" s="27">
        <v>46876</v>
      </c>
      <c r="N53" s="21">
        <v>45411</v>
      </c>
      <c r="O53" s="4"/>
      <c r="P53" s="4"/>
      <c r="Q53" s="4"/>
    </row>
    <row r="54" spans="2:17" ht="34.5" customHeight="1" x14ac:dyDescent="0.25">
      <c r="B54" s="8">
        <v>61</v>
      </c>
      <c r="C54" s="8" t="s">
        <v>273</v>
      </c>
      <c r="D54" s="6" t="s">
        <v>133</v>
      </c>
      <c r="E54" s="6" t="s">
        <v>18</v>
      </c>
      <c r="F54" s="6" t="s">
        <v>132</v>
      </c>
      <c r="G54" s="2"/>
      <c r="H54" s="4"/>
      <c r="I54" s="2"/>
      <c r="J54" s="2"/>
      <c r="K54" s="2"/>
      <c r="L54" s="6" t="s">
        <v>129</v>
      </c>
      <c r="M54" s="6"/>
      <c r="N54" s="21">
        <v>45421</v>
      </c>
      <c r="O54" s="6" t="s">
        <v>96</v>
      </c>
      <c r="P54" s="6" t="s">
        <v>96</v>
      </c>
      <c r="Q54" s="4"/>
    </row>
    <row r="55" spans="2:17" ht="34.5" customHeight="1" x14ac:dyDescent="0.25">
      <c r="B55" s="8">
        <v>62</v>
      </c>
      <c r="C55" s="8" t="s">
        <v>272</v>
      </c>
      <c r="D55" s="6" t="s">
        <v>130</v>
      </c>
      <c r="E55" s="6" t="s">
        <v>45</v>
      </c>
      <c r="F55" s="6" t="s">
        <v>51</v>
      </c>
      <c r="G55" s="2"/>
      <c r="H55" s="4"/>
      <c r="I55" s="2"/>
      <c r="J55" s="2"/>
      <c r="K55" s="2"/>
      <c r="L55" s="24" t="s">
        <v>90</v>
      </c>
      <c r="M55" s="25">
        <v>45695</v>
      </c>
      <c r="N55" s="21">
        <v>45425</v>
      </c>
      <c r="O55" s="6" t="s">
        <v>96</v>
      </c>
      <c r="P55" s="6" t="s">
        <v>96</v>
      </c>
      <c r="Q55" s="4"/>
    </row>
    <row r="56" spans="2:17" ht="34.5" customHeight="1" x14ac:dyDescent="0.25">
      <c r="B56" s="8">
        <v>63</v>
      </c>
      <c r="C56" s="8" t="s">
        <v>273</v>
      </c>
      <c r="D56" s="6" t="s">
        <v>131</v>
      </c>
      <c r="E56" s="6" t="s">
        <v>18</v>
      </c>
      <c r="F56" s="6" t="s">
        <v>132</v>
      </c>
      <c r="G56" s="4"/>
      <c r="H56" s="4"/>
      <c r="I56" s="4"/>
      <c r="J56" s="4"/>
      <c r="K56" s="4"/>
      <c r="L56" s="6" t="s">
        <v>129</v>
      </c>
      <c r="M56" s="6"/>
      <c r="N56" s="21">
        <v>45433</v>
      </c>
      <c r="O56" s="6" t="s">
        <v>96</v>
      </c>
      <c r="P56" s="6" t="s">
        <v>96</v>
      </c>
      <c r="Q56" s="4"/>
    </row>
    <row r="57" spans="2:17" ht="34.5" customHeight="1" x14ac:dyDescent="0.25">
      <c r="B57" s="8">
        <v>65</v>
      </c>
      <c r="C57" s="8" t="s">
        <v>278</v>
      </c>
      <c r="D57" s="6" t="s">
        <v>137</v>
      </c>
      <c r="E57" s="6" t="s">
        <v>28</v>
      </c>
      <c r="F57" s="6" t="s">
        <v>145</v>
      </c>
      <c r="G57" s="4"/>
      <c r="H57" s="4"/>
      <c r="I57" s="4"/>
      <c r="J57" s="4"/>
      <c r="K57" s="4"/>
      <c r="L57" s="17" t="s">
        <v>87</v>
      </c>
      <c r="M57" s="14"/>
      <c r="N57" s="21">
        <v>45443</v>
      </c>
      <c r="O57" s="4"/>
      <c r="P57" s="4"/>
      <c r="Q57" s="4"/>
    </row>
    <row r="58" spans="2:17" ht="34.5" customHeight="1" x14ac:dyDescent="0.25">
      <c r="B58" s="8">
        <v>66</v>
      </c>
      <c r="C58" s="8" t="s">
        <v>271</v>
      </c>
      <c r="D58" s="6" t="s">
        <v>142</v>
      </c>
      <c r="E58" s="6" t="s">
        <v>28</v>
      </c>
      <c r="F58" s="11" t="s">
        <v>144</v>
      </c>
      <c r="G58" s="4"/>
      <c r="H58" s="4"/>
      <c r="I58" s="4"/>
      <c r="J58" s="4"/>
      <c r="K58" s="4"/>
      <c r="L58" s="6" t="s">
        <v>129</v>
      </c>
      <c r="M58" s="6"/>
      <c r="N58" s="21">
        <v>45447</v>
      </c>
      <c r="O58" s="4"/>
      <c r="P58" s="4"/>
      <c r="Q58" s="4"/>
    </row>
    <row r="59" spans="2:17" ht="34.5" customHeight="1" x14ac:dyDescent="0.25">
      <c r="B59" s="8">
        <v>67</v>
      </c>
      <c r="C59" s="8" t="s">
        <v>271</v>
      </c>
      <c r="D59" s="6" t="s">
        <v>143</v>
      </c>
      <c r="E59" s="13" t="s">
        <v>12</v>
      </c>
      <c r="F59" s="6"/>
      <c r="G59" s="4"/>
      <c r="H59" s="4"/>
      <c r="I59" s="4"/>
      <c r="J59" s="4"/>
      <c r="K59" s="4"/>
      <c r="L59" s="14" t="s">
        <v>147</v>
      </c>
      <c r="M59" s="27">
        <v>46184</v>
      </c>
      <c r="N59" s="21">
        <v>45469</v>
      </c>
      <c r="O59" s="4"/>
      <c r="P59" s="4"/>
      <c r="Q59" s="4"/>
    </row>
    <row r="60" spans="2:17" ht="34.5" customHeight="1" x14ac:dyDescent="0.25">
      <c r="B60" s="8">
        <v>68</v>
      </c>
      <c r="C60" s="8" t="s">
        <v>273</v>
      </c>
      <c r="D60" s="6" t="s">
        <v>140</v>
      </c>
      <c r="E60" s="6" t="s">
        <v>18</v>
      </c>
      <c r="F60" s="6" t="s">
        <v>33</v>
      </c>
      <c r="G60" s="4"/>
      <c r="H60" s="4"/>
      <c r="I60" s="4"/>
      <c r="J60" s="4"/>
      <c r="K60" s="4"/>
      <c r="L60" s="14" t="s">
        <v>87</v>
      </c>
      <c r="M60" s="27">
        <v>46103</v>
      </c>
      <c r="N60" s="21">
        <v>45482</v>
      </c>
      <c r="O60" s="4"/>
      <c r="P60" s="4"/>
      <c r="Q60" s="4"/>
    </row>
    <row r="61" spans="2:17" ht="34.5" customHeight="1" x14ac:dyDescent="0.25">
      <c r="B61" s="8">
        <v>70</v>
      </c>
      <c r="C61" s="8" t="s">
        <v>273</v>
      </c>
      <c r="D61" s="6" t="s">
        <v>134</v>
      </c>
      <c r="E61" s="6" t="s">
        <v>18</v>
      </c>
      <c r="F61" s="6" t="s">
        <v>33</v>
      </c>
      <c r="G61" s="4"/>
      <c r="H61" s="4"/>
      <c r="I61" s="4"/>
      <c r="J61" s="4"/>
      <c r="K61" s="4"/>
      <c r="L61" s="22" t="s">
        <v>146</v>
      </c>
      <c r="M61" s="22"/>
      <c r="N61" s="21">
        <v>45489</v>
      </c>
      <c r="O61" s="4"/>
      <c r="P61" s="4"/>
      <c r="Q61" s="4"/>
    </row>
    <row r="62" spans="2:17" ht="34.5" customHeight="1" x14ac:dyDescent="0.25">
      <c r="B62" s="8">
        <v>71</v>
      </c>
      <c r="C62" s="8" t="s">
        <v>273</v>
      </c>
      <c r="D62" s="6" t="s">
        <v>135</v>
      </c>
      <c r="E62" s="6" t="s">
        <v>18</v>
      </c>
      <c r="F62" s="6" t="s">
        <v>33</v>
      </c>
      <c r="G62" s="4"/>
      <c r="H62" s="4"/>
      <c r="I62" s="4"/>
      <c r="J62" s="4"/>
      <c r="K62" s="4"/>
      <c r="L62" s="14" t="s">
        <v>87</v>
      </c>
      <c r="M62" s="27">
        <v>46809</v>
      </c>
      <c r="N62" s="21">
        <v>45489</v>
      </c>
      <c r="O62" s="6" t="s">
        <v>96</v>
      </c>
      <c r="P62" s="6" t="s">
        <v>96</v>
      </c>
      <c r="Q62" s="4"/>
    </row>
    <row r="63" spans="2:17" ht="34.5" customHeight="1" x14ac:dyDescent="0.25">
      <c r="B63" s="8">
        <v>72</v>
      </c>
      <c r="C63" s="8" t="s">
        <v>272</v>
      </c>
      <c r="D63" s="6" t="s">
        <v>141</v>
      </c>
      <c r="E63" s="6" t="s">
        <v>28</v>
      </c>
      <c r="F63" s="6" t="s">
        <v>139</v>
      </c>
      <c r="G63" s="4"/>
      <c r="H63" s="4"/>
      <c r="I63" s="4"/>
      <c r="J63" s="4"/>
      <c r="K63" s="4"/>
      <c r="L63" s="24" t="s">
        <v>87</v>
      </c>
      <c r="M63" s="25">
        <v>45515</v>
      </c>
      <c r="N63" s="21">
        <v>45495</v>
      </c>
      <c r="O63" s="4"/>
      <c r="P63" s="4"/>
      <c r="Q63" s="4"/>
    </row>
    <row r="64" spans="2:17" ht="34.5" customHeight="1" x14ac:dyDescent="0.25">
      <c r="B64" s="8">
        <v>73</v>
      </c>
      <c r="C64" s="8" t="s">
        <v>273</v>
      </c>
      <c r="D64" s="6" t="s">
        <v>136</v>
      </c>
      <c r="E64" s="6" t="s">
        <v>28</v>
      </c>
      <c r="F64" s="6" t="s">
        <v>138</v>
      </c>
      <c r="G64" s="4"/>
      <c r="H64" s="4"/>
      <c r="I64" s="4"/>
      <c r="J64" s="4"/>
      <c r="K64" s="4"/>
      <c r="L64" s="22" t="s">
        <v>146</v>
      </c>
      <c r="M64" s="22"/>
      <c r="N64" s="21">
        <v>45502</v>
      </c>
      <c r="O64" s="4"/>
      <c r="P64" s="4"/>
      <c r="Q64" s="4"/>
    </row>
    <row r="65" spans="2:17" ht="34.5" customHeight="1" x14ac:dyDescent="0.25">
      <c r="B65" s="8">
        <v>74</v>
      </c>
      <c r="C65" s="8" t="s">
        <v>272</v>
      </c>
      <c r="D65" s="6" t="s">
        <v>161</v>
      </c>
      <c r="E65" s="6" t="s">
        <v>28</v>
      </c>
      <c r="F65" s="6" t="s">
        <v>47</v>
      </c>
      <c r="G65" s="4"/>
      <c r="H65" s="4"/>
      <c r="I65" s="4"/>
      <c r="J65" s="4"/>
      <c r="K65" s="4"/>
      <c r="L65" s="14" t="s">
        <v>87</v>
      </c>
      <c r="M65" s="27">
        <v>46315</v>
      </c>
      <c r="N65" s="21">
        <v>45552</v>
      </c>
      <c r="O65" s="4"/>
      <c r="P65" s="4"/>
      <c r="Q65" s="4"/>
    </row>
    <row r="66" spans="2:17" ht="34.5" customHeight="1" x14ac:dyDescent="0.25">
      <c r="B66" s="8">
        <v>75</v>
      </c>
      <c r="C66" s="8" t="s">
        <v>272</v>
      </c>
      <c r="D66" s="6" t="s">
        <v>159</v>
      </c>
      <c r="E66" s="6" t="s">
        <v>28</v>
      </c>
      <c r="F66" s="6" t="s">
        <v>47</v>
      </c>
      <c r="G66" s="4"/>
      <c r="H66" s="4"/>
      <c r="I66" s="4"/>
      <c r="J66" s="4"/>
      <c r="K66" s="4"/>
      <c r="L66" s="22" t="s">
        <v>146</v>
      </c>
      <c r="M66" s="22"/>
      <c r="N66" s="21">
        <v>45558</v>
      </c>
      <c r="O66" s="4"/>
      <c r="P66" s="4"/>
      <c r="Q66" s="4"/>
    </row>
    <row r="67" spans="2:17" ht="34.5" customHeight="1" x14ac:dyDescent="0.25">
      <c r="B67" s="8">
        <v>76</v>
      </c>
      <c r="C67" s="8" t="s">
        <v>272</v>
      </c>
      <c r="D67" s="6" t="s">
        <v>153</v>
      </c>
      <c r="E67" s="6" t="s">
        <v>28</v>
      </c>
      <c r="F67" s="6" t="s">
        <v>154</v>
      </c>
      <c r="G67" s="4"/>
      <c r="H67" s="4"/>
      <c r="I67" s="4"/>
      <c r="J67" s="4"/>
      <c r="K67" s="4"/>
      <c r="L67" s="14" t="s">
        <v>87</v>
      </c>
      <c r="M67" s="27">
        <v>46595</v>
      </c>
      <c r="N67" s="21">
        <v>45562</v>
      </c>
      <c r="O67" s="4"/>
      <c r="P67" s="4"/>
      <c r="Q67" s="4"/>
    </row>
    <row r="68" spans="2:17" ht="34.5" customHeight="1" x14ac:dyDescent="0.25">
      <c r="B68" s="8">
        <v>77</v>
      </c>
      <c r="C68" s="8" t="s">
        <v>272</v>
      </c>
      <c r="D68" s="6" t="s">
        <v>150</v>
      </c>
      <c r="E68" s="6" t="s">
        <v>28</v>
      </c>
      <c r="F68" s="6" t="s">
        <v>139</v>
      </c>
      <c r="G68" s="4"/>
      <c r="H68" s="4"/>
      <c r="I68" s="4"/>
      <c r="J68" s="4"/>
      <c r="K68" s="4"/>
      <c r="L68" s="24" t="s">
        <v>87</v>
      </c>
      <c r="M68" s="25">
        <v>45439</v>
      </c>
      <c r="N68" s="21">
        <v>45572</v>
      </c>
      <c r="O68" s="4"/>
      <c r="P68" s="4"/>
      <c r="Q68" s="4"/>
    </row>
    <row r="69" spans="2:17" ht="34.5" customHeight="1" x14ac:dyDescent="0.25">
      <c r="B69" s="8">
        <v>78</v>
      </c>
      <c r="C69" s="8" t="s">
        <v>272</v>
      </c>
      <c r="D69" s="6" t="s">
        <v>149</v>
      </c>
      <c r="E69" s="6" t="s">
        <v>28</v>
      </c>
      <c r="F69" s="6" t="s">
        <v>139</v>
      </c>
      <c r="G69" s="4"/>
      <c r="H69" s="4"/>
      <c r="I69" s="4"/>
      <c r="J69" s="4"/>
      <c r="K69" s="4"/>
      <c r="L69" s="14" t="s">
        <v>87</v>
      </c>
      <c r="M69" s="27">
        <v>46591</v>
      </c>
      <c r="N69" s="21">
        <v>45572</v>
      </c>
      <c r="O69" s="4"/>
      <c r="P69" s="4"/>
      <c r="Q69" s="4"/>
    </row>
    <row r="70" spans="2:17" ht="34.5" customHeight="1" x14ac:dyDescent="0.25">
      <c r="B70" s="8">
        <v>79</v>
      </c>
      <c r="C70" s="8" t="s">
        <v>273</v>
      </c>
      <c r="D70" s="6" t="s">
        <v>158</v>
      </c>
      <c r="E70" s="6" t="s">
        <v>18</v>
      </c>
      <c r="F70" s="6" t="s">
        <v>33</v>
      </c>
      <c r="G70" s="4"/>
      <c r="H70" s="4"/>
      <c r="I70" s="4"/>
      <c r="J70" s="4"/>
      <c r="K70" s="4"/>
      <c r="L70" s="22" t="s">
        <v>146</v>
      </c>
      <c r="M70" s="22"/>
      <c r="N70" s="21">
        <v>45582</v>
      </c>
      <c r="O70" s="4"/>
      <c r="P70" s="4"/>
      <c r="Q70" s="4"/>
    </row>
    <row r="71" spans="2:17" ht="34.5" customHeight="1" x14ac:dyDescent="0.25">
      <c r="B71" s="8">
        <v>81</v>
      </c>
      <c r="C71" s="8" t="s">
        <v>275</v>
      </c>
      <c r="D71" s="6" t="s">
        <v>148</v>
      </c>
      <c r="E71" s="6" t="s">
        <v>18</v>
      </c>
      <c r="F71" s="6" t="s">
        <v>279</v>
      </c>
      <c r="G71" s="4"/>
      <c r="H71" s="4"/>
      <c r="I71" s="4"/>
      <c r="J71" s="4"/>
      <c r="K71" s="4"/>
      <c r="L71" s="14" t="s">
        <v>87</v>
      </c>
      <c r="M71" s="27">
        <v>46960</v>
      </c>
      <c r="N71" s="21">
        <v>45583</v>
      </c>
      <c r="O71" s="4"/>
      <c r="P71" s="4"/>
      <c r="Q71" s="4"/>
    </row>
    <row r="72" spans="2:17" ht="34.5" customHeight="1" x14ac:dyDescent="0.25">
      <c r="B72" s="8">
        <v>82</v>
      </c>
      <c r="C72" s="8" t="s">
        <v>273</v>
      </c>
      <c r="D72" s="6" t="s">
        <v>155</v>
      </c>
      <c r="E72" s="6" t="s">
        <v>18</v>
      </c>
      <c r="F72" s="6" t="s">
        <v>156</v>
      </c>
      <c r="G72" s="4"/>
      <c r="H72" s="4"/>
      <c r="I72" s="4"/>
      <c r="J72" s="4"/>
      <c r="K72" s="4"/>
      <c r="L72" s="14" t="s">
        <v>87</v>
      </c>
      <c r="M72" s="27">
        <v>46702</v>
      </c>
      <c r="N72" s="21">
        <v>45607</v>
      </c>
      <c r="O72" s="4"/>
      <c r="P72" s="4"/>
      <c r="Q72" s="4"/>
    </row>
    <row r="73" spans="2:17" ht="34.5" customHeight="1" x14ac:dyDescent="0.25">
      <c r="B73" s="8">
        <v>83</v>
      </c>
      <c r="C73" s="8" t="s">
        <v>280</v>
      </c>
      <c r="D73" s="6" t="s">
        <v>157</v>
      </c>
      <c r="E73" s="6" t="s">
        <v>28</v>
      </c>
      <c r="F73" s="6" t="s">
        <v>160</v>
      </c>
      <c r="G73" s="4"/>
      <c r="H73" s="4"/>
      <c r="I73" s="4"/>
      <c r="J73" s="4"/>
      <c r="K73" s="4"/>
      <c r="L73" s="14" t="s">
        <v>87</v>
      </c>
      <c r="M73" s="27">
        <v>46351</v>
      </c>
      <c r="N73" s="21">
        <v>45614</v>
      </c>
      <c r="O73" s="4"/>
      <c r="P73" s="4"/>
      <c r="Q73" s="4"/>
    </row>
    <row r="74" spans="2:17" ht="34.5" customHeight="1" x14ac:dyDescent="0.25">
      <c r="B74" s="8">
        <v>84</v>
      </c>
      <c r="C74" s="8" t="s">
        <v>273</v>
      </c>
      <c r="D74" s="6" t="s">
        <v>163</v>
      </c>
      <c r="E74" s="6" t="s">
        <v>28</v>
      </c>
      <c r="F74" s="6" t="s">
        <v>33</v>
      </c>
      <c r="G74" s="4"/>
      <c r="H74" s="4"/>
      <c r="I74" s="4"/>
      <c r="J74" s="4"/>
      <c r="K74" s="4"/>
      <c r="L74" s="14" t="s">
        <v>87</v>
      </c>
      <c r="M74" s="27">
        <v>46921</v>
      </c>
      <c r="N74" s="21">
        <v>45644</v>
      </c>
      <c r="O74" s="4"/>
      <c r="P74" s="4"/>
      <c r="Q74" s="4"/>
    </row>
    <row r="75" spans="2:17" ht="34.5" customHeight="1" x14ac:dyDescent="0.25">
      <c r="B75" s="8">
        <v>85</v>
      </c>
      <c r="C75" s="8" t="s">
        <v>272</v>
      </c>
      <c r="D75" s="6" t="s">
        <v>165</v>
      </c>
      <c r="E75" s="6" t="s">
        <v>18</v>
      </c>
      <c r="F75" s="6" t="s">
        <v>166</v>
      </c>
      <c r="G75" s="4"/>
      <c r="H75" s="4"/>
      <c r="I75" s="4"/>
      <c r="J75" s="4"/>
      <c r="K75" s="4"/>
      <c r="L75" s="22" t="s">
        <v>146</v>
      </c>
      <c r="M75" s="22"/>
      <c r="N75" s="21">
        <v>45645</v>
      </c>
      <c r="O75" s="4"/>
      <c r="P75" s="4"/>
      <c r="Q75" s="4"/>
    </row>
    <row r="76" spans="2:17" ht="34.5" customHeight="1" x14ac:dyDescent="0.25">
      <c r="B76" s="8">
        <v>86</v>
      </c>
      <c r="C76" s="8" t="s">
        <v>272</v>
      </c>
      <c r="D76" s="6" t="s">
        <v>162</v>
      </c>
      <c r="E76" s="6" t="s">
        <v>28</v>
      </c>
      <c r="F76" s="6" t="s">
        <v>139</v>
      </c>
      <c r="G76" s="4"/>
      <c r="H76" s="4"/>
      <c r="I76" s="4"/>
      <c r="J76" s="4"/>
      <c r="K76" s="4"/>
      <c r="L76" s="14" t="s">
        <v>90</v>
      </c>
      <c r="M76" s="27" t="s">
        <v>282</v>
      </c>
      <c r="N76" s="21">
        <v>45671</v>
      </c>
      <c r="O76" s="4" t="s">
        <v>96</v>
      </c>
      <c r="P76" s="4"/>
      <c r="Q76" s="4"/>
    </row>
    <row r="77" spans="2:17" ht="34.5" customHeight="1" x14ac:dyDescent="0.25">
      <c r="B77" s="8">
        <v>87</v>
      </c>
      <c r="C77" s="8" t="s">
        <v>272</v>
      </c>
      <c r="D77" s="6" t="s">
        <v>164</v>
      </c>
      <c r="E77" s="6" t="s">
        <v>28</v>
      </c>
      <c r="F77" s="6" t="s">
        <v>47</v>
      </c>
      <c r="G77" s="4"/>
      <c r="H77" s="4"/>
      <c r="I77" s="4"/>
      <c r="J77" s="4"/>
      <c r="K77" s="4"/>
      <c r="L77" s="14" t="s">
        <v>90</v>
      </c>
      <c r="M77" s="27">
        <v>46472</v>
      </c>
      <c r="N77" s="21">
        <v>45671</v>
      </c>
      <c r="O77" s="4"/>
      <c r="P77" s="4"/>
      <c r="Q77" s="4"/>
    </row>
    <row r="78" spans="2:17" ht="34.5" customHeight="1" x14ac:dyDescent="0.25">
      <c r="B78" s="8">
        <v>88</v>
      </c>
      <c r="C78" s="8" t="s">
        <v>273</v>
      </c>
      <c r="D78" s="6" t="s">
        <v>168</v>
      </c>
      <c r="E78" s="6" t="s">
        <v>18</v>
      </c>
      <c r="F78" s="6" t="s">
        <v>33</v>
      </c>
      <c r="G78" s="4"/>
      <c r="H78" s="4"/>
      <c r="I78" s="4"/>
      <c r="J78" s="4"/>
      <c r="K78" s="4"/>
      <c r="L78" s="14" t="s">
        <v>281</v>
      </c>
      <c r="M78" s="27">
        <v>46802</v>
      </c>
      <c r="N78" s="21">
        <v>45673</v>
      </c>
      <c r="O78" s="4"/>
      <c r="P78" s="4"/>
      <c r="Q78" s="4"/>
    </row>
    <row r="79" spans="2:17" ht="34.5" customHeight="1" x14ac:dyDescent="0.25">
      <c r="B79" s="8">
        <v>89</v>
      </c>
      <c r="C79" s="8" t="s">
        <v>273</v>
      </c>
      <c r="D79" s="6" t="s">
        <v>167</v>
      </c>
      <c r="E79" s="6" t="s">
        <v>18</v>
      </c>
      <c r="F79" s="6" t="s">
        <v>33</v>
      </c>
      <c r="G79" s="4"/>
      <c r="H79" s="4"/>
      <c r="I79" s="4"/>
      <c r="J79" s="4"/>
      <c r="K79" s="4"/>
      <c r="L79" s="14" t="s">
        <v>87</v>
      </c>
      <c r="M79" s="27">
        <v>45992</v>
      </c>
      <c r="N79" s="21">
        <v>45684</v>
      </c>
      <c r="O79" s="6" t="s">
        <v>96</v>
      </c>
      <c r="P79" s="6" t="s">
        <v>96</v>
      </c>
      <c r="Q79" s="4"/>
    </row>
    <row r="80" spans="2:17" ht="34.5" customHeight="1" x14ac:dyDescent="0.25">
      <c r="B80" s="8">
        <v>90</v>
      </c>
      <c r="C80" s="8" t="s">
        <v>273</v>
      </c>
      <c r="D80" s="6" t="s">
        <v>228</v>
      </c>
      <c r="E80" s="6" t="s">
        <v>45</v>
      </c>
      <c r="F80" s="6" t="s">
        <v>33</v>
      </c>
      <c r="G80" s="4"/>
      <c r="H80" s="4"/>
      <c r="I80" s="4"/>
      <c r="J80" s="4"/>
      <c r="K80" s="4"/>
      <c r="L80" s="14" t="s">
        <v>87</v>
      </c>
      <c r="M80" s="27">
        <v>46735</v>
      </c>
      <c r="N80" s="21">
        <v>45685</v>
      </c>
      <c r="O80" s="4"/>
      <c r="P80" s="4"/>
      <c r="Q80" s="4"/>
    </row>
    <row r="81" spans="2:17" ht="34.5" customHeight="1" x14ac:dyDescent="0.25">
      <c r="B81" s="8">
        <v>91</v>
      </c>
      <c r="C81" s="8" t="s">
        <v>273</v>
      </c>
      <c r="D81" s="6" t="s">
        <v>193</v>
      </c>
      <c r="E81" s="6" t="s">
        <v>28</v>
      </c>
      <c r="F81" s="6" t="s">
        <v>194</v>
      </c>
      <c r="G81" s="4"/>
      <c r="H81" s="4"/>
      <c r="I81" s="4"/>
      <c r="J81" s="4"/>
      <c r="K81" s="4"/>
      <c r="L81" s="14" t="s">
        <v>87</v>
      </c>
      <c r="M81" s="27">
        <v>46917</v>
      </c>
      <c r="N81" s="21">
        <v>45687</v>
      </c>
      <c r="O81" s="4"/>
      <c r="P81" s="4"/>
      <c r="Q81" s="4"/>
    </row>
    <row r="82" spans="2:17" ht="34.5" customHeight="1" x14ac:dyDescent="0.25">
      <c r="B82" s="8">
        <v>92</v>
      </c>
      <c r="C82" s="8" t="s">
        <v>273</v>
      </c>
      <c r="D82" s="6" t="s">
        <v>231</v>
      </c>
      <c r="E82" s="6" t="s">
        <v>18</v>
      </c>
      <c r="F82" s="6" t="s">
        <v>33</v>
      </c>
      <c r="G82" s="4"/>
      <c r="H82" s="4"/>
      <c r="I82" s="4"/>
      <c r="J82" s="4"/>
      <c r="K82" s="4"/>
      <c r="L82" s="14" t="s">
        <v>87</v>
      </c>
      <c r="M82" s="27">
        <v>46758</v>
      </c>
      <c r="N82" s="21">
        <v>45721</v>
      </c>
      <c r="O82" s="4"/>
      <c r="P82" s="4"/>
      <c r="Q82" s="4"/>
    </row>
    <row r="83" spans="2:17" ht="34.5" customHeight="1" x14ac:dyDescent="0.25">
      <c r="B83" s="8">
        <v>93</v>
      </c>
      <c r="C83" s="8" t="s">
        <v>273</v>
      </c>
      <c r="D83" s="6" t="s">
        <v>232</v>
      </c>
      <c r="E83" s="6" t="s">
        <v>18</v>
      </c>
      <c r="F83" s="6" t="s">
        <v>33</v>
      </c>
      <c r="G83" s="4"/>
      <c r="H83" s="4"/>
      <c r="I83" s="4"/>
      <c r="J83" s="4"/>
      <c r="K83" s="4"/>
      <c r="L83" s="14" t="s">
        <v>87</v>
      </c>
      <c r="M83" s="27">
        <v>46108</v>
      </c>
      <c r="N83" s="21">
        <v>45723</v>
      </c>
      <c r="O83" s="4"/>
      <c r="P83" s="4"/>
      <c r="Q83" s="4"/>
    </row>
    <row r="84" spans="2:17" ht="34.5" customHeight="1" x14ac:dyDescent="0.25">
      <c r="B84" s="8">
        <v>94</v>
      </c>
      <c r="C84" s="8" t="s">
        <v>273</v>
      </c>
      <c r="D84" s="6" t="s">
        <v>238</v>
      </c>
      <c r="E84" s="6" t="s">
        <v>18</v>
      </c>
      <c r="F84" s="6" t="s">
        <v>33</v>
      </c>
      <c r="G84" s="4"/>
      <c r="H84" s="4"/>
      <c r="I84" s="4"/>
      <c r="J84" s="4"/>
      <c r="K84" s="4"/>
      <c r="L84" s="20" t="s">
        <v>239</v>
      </c>
      <c r="M84" s="20"/>
      <c r="N84" s="21">
        <v>45729</v>
      </c>
      <c r="O84" s="4"/>
      <c r="P84" s="4"/>
      <c r="Q84" s="4"/>
    </row>
    <row r="85" spans="2:17" ht="34.5" customHeight="1" x14ac:dyDescent="0.25">
      <c r="B85" s="8">
        <v>95</v>
      </c>
      <c r="C85" s="8" t="s">
        <v>273</v>
      </c>
      <c r="D85" s="6" t="s">
        <v>257</v>
      </c>
      <c r="E85" s="6" t="s">
        <v>28</v>
      </c>
      <c r="F85" s="6"/>
      <c r="G85" s="4"/>
      <c r="H85" s="4"/>
      <c r="I85" s="4"/>
      <c r="J85" s="4"/>
      <c r="K85" s="4"/>
      <c r="L85" s="6"/>
      <c r="M85" s="6"/>
      <c r="N85" s="21">
        <v>45741</v>
      </c>
      <c r="O85" s="4"/>
      <c r="P85" s="4"/>
      <c r="Q85" s="4"/>
    </row>
    <row r="86" spans="2:17" ht="34.5" customHeight="1" x14ac:dyDescent="0.25">
      <c r="B86" s="8">
        <v>96</v>
      </c>
      <c r="C86" s="8" t="s">
        <v>273</v>
      </c>
      <c r="D86" s="6" t="s">
        <v>255</v>
      </c>
      <c r="E86" s="6" t="s">
        <v>45</v>
      </c>
      <c r="F86" s="6" t="s">
        <v>256</v>
      </c>
      <c r="G86" s="4"/>
      <c r="H86" s="4"/>
      <c r="I86" s="4"/>
      <c r="J86" s="4"/>
      <c r="K86" s="4"/>
      <c r="L86" s="14" t="s">
        <v>87</v>
      </c>
      <c r="M86" s="27">
        <v>46846</v>
      </c>
      <c r="N86" s="21">
        <v>45761</v>
      </c>
      <c r="O86" s="4"/>
      <c r="P86" s="4"/>
      <c r="Q86" s="4"/>
    </row>
    <row r="87" spans="2:17" ht="34.5" customHeight="1" x14ac:dyDescent="0.25">
      <c r="B87" s="8">
        <v>97</v>
      </c>
      <c r="C87" s="8" t="s">
        <v>272</v>
      </c>
      <c r="D87" s="6" t="s">
        <v>258</v>
      </c>
      <c r="E87" s="6" t="s">
        <v>28</v>
      </c>
      <c r="F87" s="6" t="s">
        <v>47</v>
      </c>
      <c r="G87" s="4"/>
      <c r="H87" s="4"/>
      <c r="I87" s="4"/>
      <c r="J87" s="4"/>
      <c r="K87" s="4"/>
      <c r="L87" s="14" t="s">
        <v>87</v>
      </c>
      <c r="M87" s="27">
        <v>46173</v>
      </c>
      <c r="N87" s="21">
        <v>45790</v>
      </c>
      <c r="O87" s="4"/>
      <c r="P87" s="4"/>
      <c r="Q87" s="4"/>
    </row>
    <row r="88" spans="2:17" ht="34.5" customHeight="1" x14ac:dyDescent="0.25">
      <c r="B88" s="8">
        <v>99</v>
      </c>
      <c r="C88" s="8" t="s">
        <v>273</v>
      </c>
      <c r="D88" s="6" t="s">
        <v>262</v>
      </c>
      <c r="E88" s="6" t="s">
        <v>49</v>
      </c>
      <c r="F88" s="6" t="s">
        <v>33</v>
      </c>
      <c r="G88" s="4"/>
      <c r="H88" s="4"/>
      <c r="I88" s="4"/>
      <c r="J88" s="4"/>
      <c r="K88" s="4"/>
      <c r="L88" s="14" t="s">
        <v>87</v>
      </c>
      <c r="M88" s="27">
        <v>46536</v>
      </c>
      <c r="N88" s="21">
        <v>45802</v>
      </c>
      <c r="O88" s="4"/>
      <c r="P88" s="4"/>
      <c r="Q88" s="4"/>
    </row>
    <row r="89" spans="2:17" ht="34.5" customHeight="1" x14ac:dyDescent="0.25">
      <c r="B89" s="8">
        <v>100</v>
      </c>
      <c r="C89" s="8" t="s">
        <v>272</v>
      </c>
      <c r="D89" s="6" t="s">
        <v>260</v>
      </c>
      <c r="E89" s="6" t="s">
        <v>28</v>
      </c>
      <c r="F89" s="6" t="s">
        <v>261</v>
      </c>
      <c r="G89" s="4"/>
      <c r="H89" s="4"/>
      <c r="I89" s="4"/>
      <c r="J89" s="4"/>
      <c r="K89" s="4"/>
      <c r="L89" s="23" t="s">
        <v>259</v>
      </c>
      <c r="M89" s="23"/>
      <c r="N89" s="21">
        <v>45806</v>
      </c>
      <c r="O89" s="4"/>
      <c r="P89" s="4"/>
      <c r="Q89" s="4"/>
    </row>
    <row r="90" spans="2:17" ht="34.5" customHeight="1" x14ac:dyDescent="0.25">
      <c r="B90" s="8">
        <v>101</v>
      </c>
      <c r="C90" s="8" t="s">
        <v>273</v>
      </c>
      <c r="D90" s="6" t="s">
        <v>254</v>
      </c>
      <c r="E90" s="6" t="s">
        <v>18</v>
      </c>
      <c r="F90" s="6" t="s">
        <v>33</v>
      </c>
      <c r="G90" s="4"/>
      <c r="H90" s="4"/>
      <c r="I90" s="4"/>
      <c r="J90" s="4"/>
      <c r="K90" s="4"/>
      <c r="L90" s="14" t="s">
        <v>87</v>
      </c>
      <c r="M90" s="27">
        <v>46068</v>
      </c>
      <c r="N90" s="21">
        <v>45812</v>
      </c>
      <c r="O90" s="4"/>
      <c r="P90" s="4"/>
      <c r="Q90" s="4"/>
    </row>
    <row r="91" spans="2:17" ht="34.5" customHeight="1" x14ac:dyDescent="0.25">
      <c r="B91" s="8">
        <v>102</v>
      </c>
      <c r="C91" s="8" t="s">
        <v>273</v>
      </c>
      <c r="D91" s="6" t="s">
        <v>263</v>
      </c>
      <c r="E91" s="6" t="s">
        <v>18</v>
      </c>
      <c r="F91" s="6" t="s">
        <v>33</v>
      </c>
      <c r="G91" s="4"/>
      <c r="H91" s="4"/>
      <c r="I91" s="4"/>
      <c r="J91" s="4"/>
      <c r="K91" s="4"/>
      <c r="L91" s="14" t="s">
        <v>87</v>
      </c>
      <c r="M91" s="27">
        <v>46773</v>
      </c>
      <c r="N91" s="21">
        <v>45859</v>
      </c>
      <c r="O91" s="4"/>
      <c r="P91" s="4"/>
      <c r="Q91" s="4"/>
    </row>
    <row r="92" spans="2:17" ht="34.5" customHeight="1" x14ac:dyDescent="0.25">
      <c r="B92" s="8">
        <v>103</v>
      </c>
      <c r="C92" s="8" t="s">
        <v>272</v>
      </c>
      <c r="D92" s="6" t="s">
        <v>267</v>
      </c>
      <c r="E92" s="6" t="s">
        <v>18</v>
      </c>
      <c r="F92" s="6" t="s">
        <v>132</v>
      </c>
      <c r="G92" s="4"/>
      <c r="H92" s="4"/>
      <c r="I92" s="4"/>
      <c r="J92" s="4"/>
      <c r="K92" s="4"/>
      <c r="L92" s="24" t="s">
        <v>87</v>
      </c>
      <c r="M92" s="25">
        <v>45863</v>
      </c>
      <c r="N92" s="21">
        <v>45870</v>
      </c>
      <c r="O92" s="6" t="s">
        <v>96</v>
      </c>
      <c r="P92" s="6" t="s">
        <v>96</v>
      </c>
      <c r="Q92" s="4"/>
    </row>
    <row r="93" spans="2:17" ht="34.5" customHeight="1" x14ac:dyDescent="0.25">
      <c r="B93" s="8">
        <v>105</v>
      </c>
      <c r="C93" s="8" t="s">
        <v>272</v>
      </c>
      <c r="D93" s="6" t="s">
        <v>268</v>
      </c>
      <c r="E93" s="6" t="s">
        <v>18</v>
      </c>
      <c r="F93" s="6" t="s">
        <v>132</v>
      </c>
      <c r="G93" s="2"/>
      <c r="H93" s="4"/>
      <c r="I93" s="2"/>
      <c r="J93" s="2"/>
      <c r="K93" s="2"/>
      <c r="L93" s="14" t="s">
        <v>87</v>
      </c>
      <c r="M93" s="27">
        <v>46568</v>
      </c>
      <c r="N93" s="21">
        <v>45908</v>
      </c>
      <c r="O93" s="4"/>
      <c r="P93" s="4"/>
      <c r="Q93" s="4"/>
    </row>
    <row r="94" spans="2:17" ht="34.5" customHeight="1" x14ac:dyDescent="0.25">
      <c r="B94" s="8">
        <v>106</v>
      </c>
      <c r="C94" s="8" t="s">
        <v>273</v>
      </c>
      <c r="D94" s="6" t="s">
        <v>284</v>
      </c>
      <c r="E94" s="6" t="s">
        <v>18</v>
      </c>
      <c r="F94" s="6" t="s">
        <v>33</v>
      </c>
      <c r="G94" s="2"/>
      <c r="H94" s="4"/>
      <c r="I94" s="2"/>
      <c r="J94" s="2"/>
      <c r="K94" s="2"/>
      <c r="L94" s="14" t="s">
        <v>87</v>
      </c>
      <c r="M94" s="27">
        <v>46371</v>
      </c>
      <c r="N94" s="21">
        <v>45925</v>
      </c>
      <c r="O94" s="4"/>
      <c r="P94" s="4"/>
      <c r="Q94" s="4"/>
    </row>
    <row r="95" spans="2:17" ht="34.5" customHeight="1" x14ac:dyDescent="0.25">
      <c r="B95" s="8">
        <v>107</v>
      </c>
      <c r="C95" s="8" t="s">
        <v>272</v>
      </c>
      <c r="D95" s="6" t="s">
        <v>285</v>
      </c>
      <c r="E95" s="6" t="s">
        <v>28</v>
      </c>
      <c r="F95" s="6" t="s">
        <v>287</v>
      </c>
      <c r="G95" s="2"/>
      <c r="H95" s="4"/>
      <c r="I95" s="2"/>
      <c r="J95" s="2"/>
      <c r="K95" s="2"/>
      <c r="L95" s="14" t="s">
        <v>87</v>
      </c>
      <c r="M95" s="27">
        <v>46374</v>
      </c>
      <c r="N95" s="21">
        <v>45938</v>
      </c>
      <c r="O95" s="4"/>
      <c r="P95" s="4"/>
      <c r="Q95" s="4"/>
    </row>
  </sheetData>
  <autoFilter ref="B7:I7" xr:uid="{DE5BDC5D-1296-4730-B3C4-599B23F43809}"/>
  <pageMargins left="0.7" right="0.7" top="0.75" bottom="0.75" header="0.3" footer="0.3"/>
  <pageSetup paperSize="9" scale="74" fitToHeight="0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FE51-E120-4F74-B817-C5E6BFD17AA6}">
  <sheetPr>
    <pageSetUpPr fitToPage="1"/>
  </sheetPr>
  <dimension ref="A1:P94"/>
  <sheetViews>
    <sheetView topLeftCell="A22" zoomScale="70" zoomScaleNormal="70" workbookViewId="0">
      <selection activeCell="E48" sqref="E48"/>
    </sheetView>
  </sheetViews>
  <sheetFormatPr defaultRowHeight="15" x14ac:dyDescent="0.25"/>
  <cols>
    <col min="1" max="1" width="5.140625" customWidth="1"/>
    <col min="2" max="2" width="10" style="10" customWidth="1"/>
    <col min="3" max="3" width="45" style="7" customWidth="1"/>
    <col min="4" max="4" width="27.5703125" style="7" customWidth="1"/>
    <col min="5" max="5" width="65.140625" style="7" customWidth="1"/>
    <col min="6" max="6" width="31.28515625" hidden="1" customWidth="1"/>
    <col min="7" max="7" width="27.28515625" style="5" hidden="1" customWidth="1"/>
    <col min="8" max="8" width="41.140625" hidden="1" customWidth="1"/>
    <col min="9" max="9" width="19.140625" hidden="1" customWidth="1"/>
    <col min="10" max="10" width="13.85546875" hidden="1" customWidth="1"/>
    <col min="11" max="11" width="55" style="5" customWidth="1"/>
    <col min="12" max="12" width="21.28515625" style="5" customWidth="1"/>
    <col min="13" max="13" width="18.5703125" style="5" customWidth="1"/>
    <col min="14" max="14" width="18.85546875" style="5" customWidth="1"/>
    <col min="15" max="15" width="23.42578125" style="5" customWidth="1"/>
  </cols>
  <sheetData>
    <row r="1" spans="1:15" ht="33.75" customHeight="1" x14ac:dyDescent="0.25">
      <c r="C1" s="18" t="s">
        <v>191</v>
      </c>
    </row>
    <row r="2" spans="1:15" x14ac:dyDescent="0.25">
      <c r="K2" s="15" t="s">
        <v>98</v>
      </c>
    </row>
    <row r="3" spans="1:15" x14ac:dyDescent="0.25">
      <c r="K3" s="16" t="s">
        <v>99</v>
      </c>
    </row>
    <row r="4" spans="1:15" x14ac:dyDescent="0.25">
      <c r="K4" s="19" t="s">
        <v>100</v>
      </c>
    </row>
    <row r="6" spans="1:15" ht="47.45" customHeight="1" x14ac:dyDescent="0.25">
      <c r="B6" s="9"/>
      <c r="C6" s="3" t="s">
        <v>0</v>
      </c>
      <c r="D6" s="3" t="s">
        <v>1</v>
      </c>
      <c r="E6" s="3" t="s">
        <v>2</v>
      </c>
      <c r="F6" s="3" t="s">
        <v>3</v>
      </c>
      <c r="G6" s="3" t="s">
        <v>5</v>
      </c>
      <c r="H6" s="3" t="s">
        <v>4</v>
      </c>
      <c r="I6" s="3" t="s">
        <v>21</v>
      </c>
      <c r="J6" s="3" t="s">
        <v>22</v>
      </c>
      <c r="K6" s="3" t="s">
        <v>86</v>
      </c>
      <c r="L6" s="3" t="s">
        <v>127</v>
      </c>
      <c r="M6" s="3" t="s">
        <v>93</v>
      </c>
      <c r="N6" s="3" t="s">
        <v>94</v>
      </c>
      <c r="O6" s="3" t="s">
        <v>95</v>
      </c>
    </row>
    <row r="7" spans="1:15" ht="34.5" customHeight="1" x14ac:dyDescent="0.25">
      <c r="A7" s="28"/>
      <c r="B7" s="8">
        <v>1</v>
      </c>
      <c r="C7" s="13" t="s">
        <v>196</v>
      </c>
      <c r="D7" s="13" t="s">
        <v>201</v>
      </c>
      <c r="E7" s="13" t="s">
        <v>225</v>
      </c>
      <c r="F7" s="13"/>
      <c r="G7" s="4"/>
      <c r="H7" s="2"/>
      <c r="I7" s="2"/>
      <c r="J7" s="2"/>
      <c r="K7" s="6"/>
      <c r="L7" s="6"/>
      <c r="M7" s="4"/>
      <c r="N7" s="4"/>
      <c r="O7" s="4"/>
    </row>
    <row r="8" spans="1:15" ht="34.5" customHeight="1" x14ac:dyDescent="0.25">
      <c r="A8" s="28"/>
      <c r="B8" s="8">
        <v>2</v>
      </c>
      <c r="C8" s="13" t="s">
        <v>197</v>
      </c>
      <c r="D8" s="13" t="s">
        <v>201</v>
      </c>
      <c r="E8" s="13" t="s">
        <v>202</v>
      </c>
      <c r="F8" s="13"/>
      <c r="G8" s="4"/>
      <c r="H8" s="2"/>
      <c r="I8" s="2"/>
      <c r="J8" s="2"/>
      <c r="K8" s="6"/>
      <c r="L8" s="6"/>
      <c r="M8" s="4"/>
      <c r="N8" s="4"/>
      <c r="O8" s="4"/>
    </row>
    <row r="9" spans="1:15" ht="34.5" customHeight="1" x14ac:dyDescent="0.25">
      <c r="A9" s="28"/>
      <c r="B9" s="8">
        <v>3</v>
      </c>
      <c r="C9" s="13" t="s">
        <v>198</v>
      </c>
      <c r="D9" s="13" t="s">
        <v>203</v>
      </c>
      <c r="E9" s="13" t="s">
        <v>204</v>
      </c>
      <c r="F9" s="13"/>
      <c r="G9" s="4"/>
      <c r="H9" s="2"/>
      <c r="I9" s="2"/>
      <c r="J9" s="2"/>
      <c r="K9" s="6"/>
      <c r="L9" s="6"/>
      <c r="M9" s="4"/>
      <c r="N9" s="4"/>
      <c r="O9" s="4"/>
    </row>
    <row r="10" spans="1:15" ht="34.5" customHeight="1" x14ac:dyDescent="0.25">
      <c r="A10" s="28"/>
      <c r="B10" s="8">
        <v>4</v>
      </c>
      <c r="C10" s="13" t="s">
        <v>169</v>
      </c>
      <c r="D10" s="13" t="s">
        <v>199</v>
      </c>
      <c r="E10" s="13" t="s">
        <v>200</v>
      </c>
      <c r="F10" s="13"/>
      <c r="G10" s="4"/>
      <c r="H10" s="2"/>
      <c r="I10" s="2"/>
      <c r="J10" s="2"/>
      <c r="K10" s="6"/>
      <c r="L10" s="6"/>
      <c r="M10" s="4"/>
      <c r="N10" s="4"/>
      <c r="O10" s="4"/>
    </row>
    <row r="11" spans="1:15" ht="34.5" customHeight="1" x14ac:dyDescent="0.25">
      <c r="A11" s="28"/>
      <c r="B11" s="8">
        <v>5</v>
      </c>
      <c r="C11" s="13" t="s">
        <v>222</v>
      </c>
      <c r="D11" s="13" t="s">
        <v>203</v>
      </c>
      <c r="E11" s="13" t="s">
        <v>226</v>
      </c>
      <c r="F11" s="13"/>
      <c r="G11" s="13"/>
      <c r="H11" s="2"/>
      <c r="I11" s="2"/>
      <c r="J11" s="2"/>
      <c r="K11" s="6"/>
      <c r="L11" s="6"/>
      <c r="M11" s="4"/>
      <c r="N11" s="4"/>
      <c r="O11" s="4"/>
    </row>
    <row r="12" spans="1:15" ht="34.5" customHeight="1" x14ac:dyDescent="0.25">
      <c r="A12" s="28"/>
      <c r="B12" s="8">
        <v>6</v>
      </c>
      <c r="C12" s="7" t="s">
        <v>221</v>
      </c>
      <c r="D12" s="13" t="s">
        <v>45</v>
      </c>
      <c r="E12" s="13" t="s">
        <v>205</v>
      </c>
      <c r="F12" s="13"/>
      <c r="G12" s="13"/>
      <c r="H12" s="2"/>
      <c r="I12" s="2"/>
      <c r="J12" s="2"/>
      <c r="K12" s="6"/>
      <c r="L12" s="6"/>
      <c r="M12" s="4"/>
      <c r="N12" s="4"/>
      <c r="O12" s="4"/>
    </row>
    <row r="13" spans="1:15" ht="34.5" customHeight="1" x14ac:dyDescent="0.25">
      <c r="A13" s="28"/>
      <c r="B13" s="8">
        <v>7</v>
      </c>
      <c r="C13" s="13" t="s">
        <v>170</v>
      </c>
      <c r="D13" s="13" t="s">
        <v>18</v>
      </c>
      <c r="E13" s="13" t="s">
        <v>240</v>
      </c>
      <c r="F13" s="13"/>
      <c r="G13" s="13"/>
      <c r="H13" s="2"/>
      <c r="I13" s="2"/>
      <c r="J13" s="2"/>
      <c r="K13" s="6"/>
      <c r="L13" s="6"/>
      <c r="M13" s="4"/>
      <c r="N13" s="4"/>
      <c r="O13" s="4"/>
    </row>
    <row r="14" spans="1:15" ht="34.5" customHeight="1" x14ac:dyDescent="0.25">
      <c r="A14" s="28"/>
      <c r="B14" s="8">
        <v>8</v>
      </c>
      <c r="C14" s="6" t="s">
        <v>171</v>
      </c>
      <c r="D14" s="6" t="s">
        <v>18</v>
      </c>
      <c r="E14" s="13" t="s">
        <v>206</v>
      </c>
      <c r="F14" s="2"/>
      <c r="G14" s="4"/>
      <c r="H14" s="2"/>
      <c r="I14" s="2"/>
      <c r="J14" s="2"/>
      <c r="K14" s="6"/>
      <c r="L14" s="6"/>
      <c r="M14" s="4"/>
      <c r="N14" s="4"/>
      <c r="O14" s="4"/>
    </row>
    <row r="15" spans="1:15" ht="34.5" customHeight="1" x14ac:dyDescent="0.25">
      <c r="A15" s="28"/>
      <c r="B15" s="8">
        <v>9</v>
      </c>
      <c r="C15" s="6" t="s">
        <v>172</v>
      </c>
      <c r="D15" s="6" t="s">
        <v>201</v>
      </c>
      <c r="E15" s="13" t="s">
        <v>218</v>
      </c>
      <c r="F15" s="2"/>
      <c r="G15" s="4"/>
      <c r="H15" s="2"/>
      <c r="I15" s="2"/>
      <c r="J15" s="2"/>
      <c r="K15" s="6"/>
      <c r="L15" s="6"/>
      <c r="M15" s="4"/>
      <c r="N15" s="4"/>
      <c r="O15" s="4"/>
    </row>
    <row r="16" spans="1:15" ht="34.5" customHeight="1" x14ac:dyDescent="0.25">
      <c r="A16" s="28"/>
      <c r="B16" s="8">
        <v>10</v>
      </c>
      <c r="C16" s="6" t="s">
        <v>195</v>
      </c>
      <c r="D16" s="6" t="s">
        <v>209</v>
      </c>
      <c r="E16" s="13" t="s">
        <v>207</v>
      </c>
      <c r="F16" s="2"/>
      <c r="G16" s="4"/>
      <c r="H16" s="2"/>
      <c r="I16" s="2"/>
      <c r="J16" s="2"/>
      <c r="K16" s="6"/>
      <c r="L16" s="6"/>
      <c r="M16" s="4"/>
      <c r="N16" s="4"/>
      <c r="O16" s="4"/>
    </row>
    <row r="17" spans="1:15" ht="34.5" customHeight="1" x14ac:dyDescent="0.25">
      <c r="A17" s="28"/>
      <c r="B17" s="8">
        <v>11</v>
      </c>
      <c r="C17" s="6" t="s">
        <v>173</v>
      </c>
      <c r="D17" s="13" t="s">
        <v>18</v>
      </c>
      <c r="E17" s="13" t="s">
        <v>208</v>
      </c>
      <c r="F17" s="2"/>
      <c r="G17" s="4"/>
      <c r="H17" s="2"/>
      <c r="I17" s="2"/>
      <c r="J17" s="2"/>
      <c r="K17" s="6"/>
      <c r="L17" s="6"/>
      <c r="M17" s="4"/>
      <c r="N17" s="4"/>
      <c r="O17" s="4"/>
    </row>
    <row r="18" spans="1:15" ht="34.5" customHeight="1" x14ac:dyDescent="0.25">
      <c r="A18" s="28"/>
      <c r="B18" s="8">
        <v>12</v>
      </c>
      <c r="C18" s="6" t="s">
        <v>174</v>
      </c>
      <c r="D18" s="6" t="s">
        <v>209</v>
      </c>
      <c r="E18" s="6" t="s">
        <v>210</v>
      </c>
      <c r="F18" s="2"/>
      <c r="G18" s="4"/>
      <c r="H18" s="2"/>
      <c r="I18" s="2"/>
      <c r="J18" s="2"/>
      <c r="K18" s="6"/>
      <c r="L18" s="6"/>
      <c r="M18" s="4"/>
      <c r="N18" s="4"/>
      <c r="O18" s="4"/>
    </row>
    <row r="19" spans="1:15" ht="34.5" customHeight="1" x14ac:dyDescent="0.25">
      <c r="A19" s="28"/>
      <c r="B19" s="8">
        <v>13</v>
      </c>
      <c r="C19" s="6" t="s">
        <v>175</v>
      </c>
      <c r="D19" s="6" t="s">
        <v>201</v>
      </c>
      <c r="E19" s="13" t="s">
        <v>211</v>
      </c>
      <c r="F19" s="2"/>
      <c r="G19" s="4"/>
      <c r="H19" s="2"/>
      <c r="I19" s="2"/>
      <c r="J19" s="2"/>
      <c r="K19" s="6"/>
      <c r="L19" s="6"/>
      <c r="M19" s="4"/>
      <c r="N19" s="4"/>
      <c r="O19" s="4"/>
    </row>
    <row r="20" spans="1:15" ht="34.5" customHeight="1" x14ac:dyDescent="0.25">
      <c r="A20" s="28"/>
      <c r="B20" s="8">
        <v>14</v>
      </c>
      <c r="C20" s="6" t="s">
        <v>220</v>
      </c>
      <c r="D20" s="6" t="s">
        <v>203</v>
      </c>
      <c r="E20" s="13" t="s">
        <v>219</v>
      </c>
      <c r="F20" s="2"/>
      <c r="G20" s="4"/>
      <c r="H20" s="2"/>
      <c r="I20" s="2"/>
      <c r="J20" s="2"/>
      <c r="K20" s="6"/>
      <c r="L20" s="6"/>
      <c r="M20" s="4"/>
      <c r="N20" s="4"/>
      <c r="O20" s="4"/>
    </row>
    <row r="21" spans="1:15" s="10" customFormat="1" ht="34.5" customHeight="1" x14ac:dyDescent="0.25">
      <c r="A21" s="32"/>
      <c r="B21" s="8">
        <v>15</v>
      </c>
      <c r="C21" s="29" t="s">
        <v>176</v>
      </c>
      <c r="D21" s="29" t="s">
        <v>18</v>
      </c>
      <c r="E21" s="8" t="s">
        <v>212</v>
      </c>
      <c r="F21" s="30"/>
      <c r="G21" s="31"/>
      <c r="H21" s="30"/>
      <c r="I21" s="30"/>
      <c r="J21" s="30"/>
      <c r="K21" s="29"/>
      <c r="L21" s="29"/>
      <c r="M21" s="31"/>
      <c r="N21" s="31"/>
      <c r="O21" s="31"/>
    </row>
    <row r="22" spans="1:15" ht="34.5" customHeight="1" x14ac:dyDescent="0.25">
      <c r="A22" s="28"/>
      <c r="B22" s="8">
        <v>16</v>
      </c>
      <c r="C22" s="6" t="s">
        <v>177</v>
      </c>
      <c r="D22" s="6" t="s">
        <v>18</v>
      </c>
      <c r="E22" s="6" t="s">
        <v>213</v>
      </c>
      <c r="F22" s="2"/>
      <c r="G22" s="4"/>
      <c r="H22" s="2"/>
      <c r="I22" s="2"/>
      <c r="J22" s="2"/>
      <c r="K22" s="6"/>
      <c r="L22" s="6"/>
      <c r="M22" s="4"/>
      <c r="N22" s="4"/>
      <c r="O22" s="4"/>
    </row>
    <row r="23" spans="1:15" ht="34.5" customHeight="1" x14ac:dyDescent="0.25">
      <c r="A23" s="28"/>
      <c r="B23" s="8">
        <v>17</v>
      </c>
      <c r="C23" s="6" t="s">
        <v>178</v>
      </c>
      <c r="D23" s="6" t="s">
        <v>201</v>
      </c>
      <c r="E23" s="6" t="s">
        <v>214</v>
      </c>
      <c r="F23" s="2"/>
      <c r="G23" s="4"/>
      <c r="H23" s="2"/>
      <c r="I23" s="2"/>
      <c r="J23" s="2"/>
      <c r="K23" s="6"/>
      <c r="L23" s="6"/>
      <c r="M23" s="4"/>
      <c r="N23" s="4"/>
      <c r="O23" s="4"/>
    </row>
    <row r="24" spans="1:15" ht="34.5" customHeight="1" x14ac:dyDescent="0.25">
      <c r="A24" s="28"/>
      <c r="B24" s="8">
        <v>18</v>
      </c>
      <c r="C24" s="6" t="s">
        <v>179</v>
      </c>
      <c r="D24" s="6" t="s">
        <v>201</v>
      </c>
      <c r="E24" s="6" t="s">
        <v>215</v>
      </c>
      <c r="F24" s="2"/>
      <c r="G24" s="4"/>
      <c r="H24" s="2"/>
      <c r="I24" s="2"/>
      <c r="J24" s="2"/>
      <c r="K24" s="6"/>
      <c r="L24" s="6"/>
      <c r="M24" s="4"/>
      <c r="N24" s="4"/>
      <c r="O24" s="4"/>
    </row>
    <row r="25" spans="1:15" ht="34.5" customHeight="1" x14ac:dyDescent="0.25">
      <c r="A25" s="28"/>
      <c r="B25" s="8">
        <v>19</v>
      </c>
      <c r="C25" s="6" t="s">
        <v>180</v>
      </c>
      <c r="D25" s="6" t="s">
        <v>28</v>
      </c>
      <c r="E25" s="6" t="s">
        <v>227</v>
      </c>
      <c r="F25" s="2"/>
      <c r="G25" s="4"/>
      <c r="H25" s="2"/>
      <c r="I25" s="2"/>
      <c r="J25" s="2"/>
      <c r="K25" s="6"/>
      <c r="L25" s="6"/>
      <c r="M25" s="4"/>
      <c r="N25" s="4"/>
      <c r="O25" s="4"/>
    </row>
    <row r="26" spans="1:15" ht="34.5" customHeight="1" x14ac:dyDescent="0.25">
      <c r="A26" s="28"/>
      <c r="B26" s="8">
        <v>20</v>
      </c>
      <c r="C26" s="6" t="s">
        <v>181</v>
      </c>
      <c r="D26" s="6" t="s">
        <v>18</v>
      </c>
      <c r="E26" s="6" t="s">
        <v>227</v>
      </c>
      <c r="F26" s="2"/>
      <c r="G26" s="4"/>
      <c r="H26" s="2"/>
      <c r="I26" s="2"/>
      <c r="J26" s="2"/>
      <c r="K26" s="6"/>
      <c r="L26" s="6"/>
      <c r="M26" s="4"/>
      <c r="N26" s="4"/>
      <c r="O26" s="4"/>
    </row>
    <row r="27" spans="1:15" ht="34.5" customHeight="1" x14ac:dyDescent="0.25">
      <c r="A27" s="28"/>
      <c r="B27" s="8">
        <v>21</v>
      </c>
      <c r="C27" s="6" t="s">
        <v>182</v>
      </c>
      <c r="D27" s="13" t="s">
        <v>201</v>
      </c>
      <c r="E27" s="13" t="s">
        <v>216</v>
      </c>
      <c r="F27" s="2"/>
      <c r="G27" s="4"/>
      <c r="H27" s="2"/>
      <c r="I27" s="2"/>
      <c r="J27" s="2"/>
      <c r="K27" s="6"/>
      <c r="L27" s="6"/>
      <c r="M27" s="4"/>
      <c r="N27" s="4"/>
      <c r="O27" s="4"/>
    </row>
    <row r="28" spans="1:15" ht="34.5" customHeight="1" x14ac:dyDescent="0.25">
      <c r="A28" s="28"/>
      <c r="B28" s="8">
        <v>22</v>
      </c>
      <c r="C28" s="6">
        <v>1855</v>
      </c>
      <c r="D28" s="6" t="s">
        <v>18</v>
      </c>
      <c r="E28" s="11" t="s">
        <v>217</v>
      </c>
      <c r="F28" s="2"/>
      <c r="G28" s="4"/>
      <c r="H28" s="2"/>
      <c r="I28" s="2"/>
      <c r="J28" s="2"/>
      <c r="K28" s="6"/>
      <c r="L28" s="6"/>
      <c r="M28" s="4"/>
      <c r="N28" s="4"/>
      <c r="O28" s="4"/>
    </row>
    <row r="29" spans="1:15" ht="34.5" customHeight="1" x14ac:dyDescent="0.25">
      <c r="A29" s="28"/>
      <c r="B29" s="8">
        <v>23</v>
      </c>
      <c r="C29" s="6" t="s">
        <v>183</v>
      </c>
      <c r="D29" s="13"/>
      <c r="E29" s="13" t="s">
        <v>237</v>
      </c>
      <c r="F29" s="2"/>
      <c r="G29" s="4"/>
      <c r="H29" s="2"/>
      <c r="I29" s="2"/>
      <c r="J29" s="2"/>
      <c r="K29" s="6"/>
      <c r="L29" s="6"/>
      <c r="M29" s="4"/>
      <c r="N29" s="4"/>
      <c r="O29" s="4"/>
    </row>
    <row r="30" spans="1:15" ht="34.5" customHeight="1" x14ac:dyDescent="0.25">
      <c r="A30" s="28"/>
      <c r="B30" s="8">
        <v>24</v>
      </c>
      <c r="C30" s="6" t="s">
        <v>184</v>
      </c>
      <c r="D30" s="6" t="s">
        <v>201</v>
      </c>
      <c r="E30" s="6" t="s">
        <v>224</v>
      </c>
      <c r="F30" s="2"/>
      <c r="G30" s="4"/>
      <c r="H30" s="2"/>
      <c r="I30" s="2"/>
      <c r="J30" s="2"/>
      <c r="K30" s="6"/>
      <c r="L30" s="6"/>
      <c r="M30" s="4"/>
      <c r="N30" s="4"/>
      <c r="O30" s="4"/>
    </row>
    <row r="31" spans="1:15" ht="34.5" customHeight="1" x14ac:dyDescent="0.25">
      <c r="A31" s="28"/>
      <c r="B31" s="8">
        <v>25</v>
      </c>
      <c r="C31" s="6" t="s">
        <v>185</v>
      </c>
      <c r="D31" s="6" t="s">
        <v>18</v>
      </c>
      <c r="E31" s="6" t="s">
        <v>213</v>
      </c>
      <c r="F31" s="2"/>
      <c r="G31" s="4"/>
      <c r="H31" s="2"/>
      <c r="I31" s="2"/>
      <c r="J31" s="2"/>
      <c r="K31" s="6"/>
      <c r="L31" s="6"/>
      <c r="M31" s="4"/>
      <c r="N31" s="4"/>
      <c r="O31" s="4"/>
    </row>
    <row r="32" spans="1:15" ht="34.5" customHeight="1" x14ac:dyDescent="0.25">
      <c r="A32" s="28"/>
      <c r="B32" s="8">
        <v>26</v>
      </c>
      <c r="C32" s="6" t="s">
        <v>186</v>
      </c>
      <c r="D32" s="6" t="s">
        <v>199</v>
      </c>
      <c r="E32" s="6" t="s">
        <v>223</v>
      </c>
      <c r="F32" s="2"/>
      <c r="G32" s="4"/>
      <c r="H32" s="2"/>
      <c r="I32" s="2"/>
      <c r="J32" s="2"/>
      <c r="K32" s="6"/>
      <c r="L32" s="6"/>
      <c r="M32" s="4"/>
      <c r="N32" s="4"/>
      <c r="O32" s="4"/>
    </row>
    <row r="33" spans="1:16" ht="34.5" customHeight="1" x14ac:dyDescent="0.25">
      <c r="A33" s="28"/>
      <c r="B33" s="8">
        <v>27</v>
      </c>
      <c r="C33" s="6" t="s">
        <v>187</v>
      </c>
      <c r="D33" s="6" t="s">
        <v>28</v>
      </c>
      <c r="E33" s="6" t="s">
        <v>250</v>
      </c>
      <c r="F33" s="2"/>
      <c r="G33" s="4"/>
      <c r="H33" s="2"/>
      <c r="I33" s="2"/>
      <c r="J33" s="2"/>
      <c r="K33" s="6"/>
      <c r="L33" s="6"/>
      <c r="M33" s="4"/>
      <c r="N33" s="4"/>
      <c r="O33" s="4"/>
    </row>
    <row r="34" spans="1:16" ht="34.5" customHeight="1" x14ac:dyDescent="0.25">
      <c r="A34" s="28"/>
      <c r="B34" s="8">
        <v>28</v>
      </c>
      <c r="C34" s="11" t="s">
        <v>188</v>
      </c>
      <c r="D34" s="6" t="s">
        <v>203</v>
      </c>
      <c r="E34" s="6" t="s">
        <v>230</v>
      </c>
      <c r="F34" s="2"/>
      <c r="G34" s="4"/>
      <c r="H34" s="2"/>
      <c r="I34" s="2"/>
      <c r="J34" s="2"/>
      <c r="K34" s="6"/>
      <c r="L34" s="6"/>
      <c r="M34" s="4"/>
      <c r="N34" s="4"/>
      <c r="O34" s="4"/>
    </row>
    <row r="35" spans="1:16" ht="34.5" customHeight="1" x14ac:dyDescent="0.25">
      <c r="A35" s="28"/>
      <c r="B35" s="8">
        <v>29</v>
      </c>
      <c r="C35" s="6" t="s">
        <v>189</v>
      </c>
      <c r="D35" s="6" t="s">
        <v>201</v>
      </c>
      <c r="E35" s="6" t="s">
        <v>294</v>
      </c>
      <c r="F35" s="2"/>
      <c r="G35" s="4"/>
      <c r="H35" s="2"/>
      <c r="I35" s="2"/>
      <c r="J35" s="2"/>
      <c r="K35" s="6"/>
      <c r="L35" s="6"/>
      <c r="M35" s="4"/>
      <c r="N35" s="4"/>
      <c r="O35" s="4"/>
    </row>
    <row r="36" spans="1:16" ht="34.5" customHeight="1" x14ac:dyDescent="0.25">
      <c r="A36" s="28"/>
      <c r="B36" s="8">
        <v>30</v>
      </c>
      <c r="C36" s="6" t="s">
        <v>190</v>
      </c>
      <c r="D36" s="6" t="s">
        <v>18</v>
      </c>
      <c r="E36" s="6" t="s">
        <v>245</v>
      </c>
      <c r="F36" s="2"/>
      <c r="G36" s="4"/>
      <c r="H36" s="2"/>
      <c r="I36" s="2"/>
      <c r="J36" s="2"/>
      <c r="K36" s="6"/>
      <c r="L36" s="6"/>
      <c r="M36" s="4"/>
      <c r="N36" s="4"/>
      <c r="O36" s="4"/>
    </row>
    <row r="37" spans="1:16" ht="34.5" customHeight="1" x14ac:dyDescent="0.25">
      <c r="A37" s="28"/>
      <c r="B37" s="8">
        <v>31</v>
      </c>
      <c r="C37" s="6" t="s">
        <v>229</v>
      </c>
      <c r="D37" s="6" t="s">
        <v>18</v>
      </c>
      <c r="E37" s="6"/>
      <c r="F37" s="2"/>
      <c r="G37" s="4"/>
      <c r="H37" s="2"/>
      <c r="I37" s="2"/>
      <c r="J37" s="2"/>
      <c r="K37" s="6"/>
      <c r="L37" s="6"/>
      <c r="M37" s="4"/>
      <c r="N37" s="4"/>
      <c r="O37" s="4"/>
    </row>
    <row r="38" spans="1:16" ht="34.5" customHeight="1" x14ac:dyDescent="0.25">
      <c r="A38" s="28"/>
      <c r="B38" s="8">
        <v>32</v>
      </c>
      <c r="C38" s="6" t="s">
        <v>233</v>
      </c>
      <c r="D38" s="6" t="s">
        <v>18</v>
      </c>
      <c r="E38" s="6" t="s">
        <v>236</v>
      </c>
      <c r="F38" s="2"/>
      <c r="G38" s="4"/>
      <c r="H38" s="2"/>
      <c r="I38" s="2"/>
      <c r="J38" s="2"/>
      <c r="K38" s="6"/>
      <c r="L38" s="6"/>
      <c r="M38" s="4"/>
      <c r="N38" s="4"/>
      <c r="O38" s="4"/>
    </row>
    <row r="39" spans="1:16" ht="34.5" customHeight="1" x14ac:dyDescent="0.25">
      <c r="A39" s="28"/>
      <c r="B39" s="8">
        <v>33</v>
      </c>
      <c r="C39" s="6" t="s">
        <v>234</v>
      </c>
      <c r="D39" s="6" t="s">
        <v>18</v>
      </c>
      <c r="E39" s="6" t="s">
        <v>235</v>
      </c>
      <c r="F39" s="2"/>
      <c r="G39" s="4"/>
      <c r="H39" s="2"/>
      <c r="I39" s="2"/>
      <c r="J39" s="2"/>
      <c r="K39" s="6"/>
      <c r="L39" s="6"/>
      <c r="M39" s="4"/>
      <c r="N39" s="4"/>
      <c r="O39" s="4"/>
    </row>
    <row r="40" spans="1:16" ht="34.5" customHeight="1" x14ac:dyDescent="0.25">
      <c r="A40" s="28"/>
      <c r="B40" s="8">
        <v>34</v>
      </c>
      <c r="C40" s="6" t="s">
        <v>241</v>
      </c>
      <c r="D40" s="6" t="s">
        <v>201</v>
      </c>
      <c r="E40" s="6" t="s">
        <v>242</v>
      </c>
      <c r="F40" s="2"/>
      <c r="G40" s="4"/>
      <c r="H40" s="2"/>
      <c r="I40" s="2"/>
      <c r="J40" s="2"/>
      <c r="K40" s="6"/>
      <c r="L40" s="6"/>
      <c r="M40" s="4"/>
      <c r="N40" s="4"/>
      <c r="O40" s="4"/>
    </row>
    <row r="41" spans="1:16" ht="34.5" customHeight="1" x14ac:dyDescent="0.25">
      <c r="A41" s="28"/>
      <c r="B41" s="8">
        <v>35</v>
      </c>
      <c r="C41" s="6" t="s">
        <v>243</v>
      </c>
      <c r="D41" s="6" t="s">
        <v>45</v>
      </c>
      <c r="E41" s="6" t="s">
        <v>244</v>
      </c>
      <c r="F41" s="2"/>
      <c r="G41" s="4"/>
      <c r="H41" s="2"/>
      <c r="I41" s="2"/>
      <c r="J41" s="2"/>
      <c r="K41" s="6"/>
      <c r="L41" s="6"/>
      <c r="M41" s="4"/>
      <c r="N41" s="4"/>
      <c r="O41" s="4"/>
    </row>
    <row r="42" spans="1:16" ht="34.5" customHeight="1" x14ac:dyDescent="0.25">
      <c r="A42" s="28"/>
      <c r="B42" s="8">
        <v>37</v>
      </c>
      <c r="C42" s="6" t="s">
        <v>246</v>
      </c>
      <c r="D42" s="6" t="s">
        <v>18</v>
      </c>
      <c r="E42" s="6" t="s">
        <v>253</v>
      </c>
      <c r="F42" s="2"/>
      <c r="G42" s="4"/>
      <c r="H42" s="2"/>
      <c r="I42" s="2"/>
      <c r="J42" s="2"/>
      <c r="K42" s="6"/>
      <c r="L42" s="6"/>
      <c r="M42" s="4" t="s">
        <v>96</v>
      </c>
      <c r="N42" s="4"/>
      <c r="O42" s="4"/>
    </row>
    <row r="43" spans="1:16" ht="34.5" customHeight="1" x14ac:dyDescent="0.25">
      <c r="A43" s="28"/>
      <c r="B43" s="8">
        <v>38</v>
      </c>
      <c r="C43" s="6" t="s">
        <v>247</v>
      </c>
      <c r="D43" s="6" t="s">
        <v>18</v>
      </c>
      <c r="E43" s="6" t="s">
        <v>253</v>
      </c>
      <c r="F43" s="2"/>
      <c r="G43" s="4"/>
      <c r="H43" s="2"/>
      <c r="I43" s="2"/>
      <c r="J43" s="2"/>
      <c r="K43" s="6"/>
      <c r="L43" s="6"/>
      <c r="M43" s="4"/>
      <c r="N43" s="4"/>
      <c r="O43" s="4"/>
    </row>
    <row r="44" spans="1:16" ht="34.5" customHeight="1" x14ac:dyDescent="0.25">
      <c r="A44" s="28"/>
      <c r="B44" s="8">
        <v>39</v>
      </c>
      <c r="C44" s="6" t="s">
        <v>248</v>
      </c>
      <c r="D44" s="6" t="s">
        <v>18</v>
      </c>
      <c r="E44" s="6"/>
      <c r="F44" s="2"/>
      <c r="G44" s="4"/>
      <c r="H44" s="2"/>
      <c r="I44" s="2"/>
      <c r="J44" s="2"/>
      <c r="K44" s="6"/>
      <c r="L44" s="6"/>
      <c r="M44" s="4"/>
      <c r="N44" s="4"/>
      <c r="O44" s="4"/>
    </row>
    <row r="45" spans="1:16" ht="34.5" customHeight="1" x14ac:dyDescent="0.25">
      <c r="A45" s="28"/>
      <c r="B45" s="8">
        <v>40</v>
      </c>
      <c r="C45" s="6" t="s">
        <v>249</v>
      </c>
      <c r="D45" s="6" t="s">
        <v>18</v>
      </c>
      <c r="E45" s="6"/>
      <c r="F45" s="2"/>
      <c r="G45" s="4"/>
      <c r="H45" s="2"/>
      <c r="I45" s="2"/>
      <c r="J45" s="2"/>
      <c r="K45" s="6"/>
      <c r="L45" s="6"/>
      <c r="M45" s="4"/>
      <c r="N45" s="4"/>
      <c r="O45" s="4"/>
    </row>
    <row r="46" spans="1:16" ht="34.5" customHeight="1" x14ac:dyDescent="0.25">
      <c r="A46" s="28"/>
      <c r="B46" s="8">
        <v>41</v>
      </c>
      <c r="C46" s="6" t="s">
        <v>251</v>
      </c>
      <c r="D46" s="6" t="s">
        <v>18</v>
      </c>
      <c r="E46" s="11"/>
      <c r="F46" s="2"/>
      <c r="G46" s="4"/>
      <c r="H46" s="2"/>
      <c r="I46" s="2"/>
      <c r="J46" s="2"/>
      <c r="K46" s="6"/>
      <c r="L46" s="6"/>
      <c r="M46" s="4"/>
      <c r="N46" s="4"/>
      <c r="O46" s="4"/>
    </row>
    <row r="47" spans="1:16" ht="34.5" customHeight="1" x14ac:dyDescent="0.25">
      <c r="A47" s="28"/>
      <c r="B47" s="8">
        <v>42</v>
      </c>
      <c r="C47" s="6" t="s">
        <v>252</v>
      </c>
      <c r="D47" s="6" t="s">
        <v>18</v>
      </c>
      <c r="E47" s="6"/>
      <c r="F47" s="2"/>
      <c r="G47" s="4"/>
      <c r="H47" s="2"/>
      <c r="I47" s="2"/>
      <c r="J47" s="2"/>
      <c r="K47" s="6"/>
      <c r="L47" s="6"/>
      <c r="M47" s="4"/>
      <c r="N47" s="4"/>
      <c r="O47" s="4"/>
    </row>
    <row r="48" spans="1:16" ht="34.5" customHeight="1" x14ac:dyDescent="0.25">
      <c r="A48" s="28"/>
      <c r="B48" s="8">
        <v>43</v>
      </c>
      <c r="C48" s="6" t="s">
        <v>79</v>
      </c>
      <c r="D48" s="6" t="s">
        <v>18</v>
      </c>
      <c r="E48" s="12" t="s">
        <v>85</v>
      </c>
      <c r="F48" s="2"/>
      <c r="G48" s="4"/>
      <c r="H48" s="2"/>
      <c r="I48" s="2"/>
      <c r="J48" s="2"/>
      <c r="K48" s="20" t="s">
        <v>101</v>
      </c>
      <c r="L48" s="20"/>
      <c r="M48" s="6"/>
      <c r="N48" s="4" t="s">
        <v>96</v>
      </c>
      <c r="O48" s="4"/>
      <c r="P48" s="4"/>
    </row>
    <row r="49" spans="1:15" ht="34.5" customHeight="1" x14ac:dyDescent="0.25">
      <c r="A49" s="28"/>
      <c r="B49" s="8">
        <v>44</v>
      </c>
      <c r="C49" s="6" t="s">
        <v>78</v>
      </c>
      <c r="D49" s="6" t="s">
        <v>45</v>
      </c>
      <c r="E49" s="6" t="s">
        <v>276</v>
      </c>
      <c r="F49" s="2"/>
      <c r="G49" s="4"/>
      <c r="H49" s="2"/>
      <c r="I49" s="2"/>
      <c r="J49" s="2"/>
      <c r="K49" s="14" t="s">
        <v>87</v>
      </c>
      <c r="L49" s="14"/>
      <c r="M49" s="6"/>
      <c r="N49" s="4"/>
      <c r="O49" s="4"/>
    </row>
    <row r="50" spans="1:15" ht="34.5" customHeight="1" x14ac:dyDescent="0.25">
      <c r="A50" s="28"/>
      <c r="B50" s="8">
        <v>45</v>
      </c>
      <c r="C50" s="6" t="s">
        <v>151</v>
      </c>
      <c r="D50" s="6"/>
      <c r="E50" s="6" t="s">
        <v>152</v>
      </c>
      <c r="F50" s="4"/>
      <c r="G50" s="4"/>
      <c r="H50" s="4"/>
      <c r="I50" s="4"/>
      <c r="J50" s="4"/>
      <c r="K50" s="14" t="s">
        <v>87</v>
      </c>
      <c r="L50" s="14"/>
      <c r="M50" s="21">
        <v>45580</v>
      </c>
      <c r="N50" s="4"/>
      <c r="O50" s="4"/>
    </row>
    <row r="51" spans="1:15" ht="34.5" customHeight="1" x14ac:dyDescent="0.25">
      <c r="A51" s="28"/>
      <c r="B51" s="8">
        <v>46</v>
      </c>
      <c r="C51" s="6" t="s">
        <v>283</v>
      </c>
      <c r="D51" s="6" t="s">
        <v>18</v>
      </c>
      <c r="E51" s="6" t="s">
        <v>286</v>
      </c>
      <c r="F51" s="2"/>
      <c r="G51" s="4"/>
      <c r="H51" s="2"/>
      <c r="I51" s="2"/>
      <c r="J51" s="2"/>
      <c r="K51" s="6"/>
      <c r="L51" s="6"/>
      <c r="M51" s="4"/>
      <c r="N51" s="4"/>
      <c r="O51" s="4"/>
    </row>
    <row r="52" spans="1:15" ht="34.5" customHeight="1" x14ac:dyDescent="0.25">
      <c r="B52" s="8">
        <v>47</v>
      </c>
      <c r="C52" s="6"/>
      <c r="D52" s="6"/>
      <c r="E52" s="6"/>
      <c r="F52" s="2"/>
      <c r="G52" s="4"/>
      <c r="H52" s="2"/>
      <c r="I52" s="2"/>
      <c r="J52" s="2"/>
      <c r="K52" s="6"/>
      <c r="L52" s="6"/>
      <c r="M52" s="4"/>
      <c r="N52" s="4"/>
      <c r="O52" s="4"/>
    </row>
    <row r="53" spans="1:15" ht="34.5" customHeight="1" x14ac:dyDescent="0.25">
      <c r="B53" s="8">
        <v>48</v>
      </c>
      <c r="C53" s="6"/>
      <c r="D53" s="6"/>
      <c r="E53" s="6"/>
      <c r="F53" s="2"/>
      <c r="G53" s="4"/>
      <c r="H53" s="2"/>
      <c r="I53" s="2"/>
      <c r="J53" s="2"/>
      <c r="K53" s="6"/>
      <c r="L53" s="6"/>
      <c r="M53" s="4"/>
      <c r="N53" s="4"/>
      <c r="O53" s="4"/>
    </row>
    <row r="54" spans="1:15" ht="34.5" customHeight="1" x14ac:dyDescent="0.25">
      <c r="B54" s="8">
        <v>49</v>
      </c>
      <c r="C54" s="6"/>
      <c r="D54" s="6"/>
      <c r="E54" s="6"/>
      <c r="F54" s="2"/>
      <c r="G54" s="4"/>
      <c r="H54" s="2"/>
      <c r="I54" s="2"/>
      <c r="J54" s="2"/>
      <c r="K54" s="6"/>
      <c r="L54" s="6"/>
      <c r="M54" s="4"/>
      <c r="N54" s="4"/>
      <c r="O54" s="4"/>
    </row>
    <row r="55" spans="1:15" ht="34.5" customHeight="1" x14ac:dyDescent="0.25">
      <c r="B55" s="8">
        <v>50</v>
      </c>
      <c r="C55" s="6"/>
      <c r="D55" s="6"/>
      <c r="E55" s="6"/>
      <c r="F55" s="2"/>
      <c r="G55" s="4"/>
      <c r="H55" s="2"/>
      <c r="I55" s="2"/>
      <c r="J55" s="2"/>
      <c r="K55" s="6"/>
      <c r="L55" s="6"/>
      <c r="M55" s="4"/>
      <c r="N55" s="4"/>
      <c r="O55" s="4"/>
    </row>
    <row r="56" spans="1:15" ht="34.5" customHeight="1" x14ac:dyDescent="0.25">
      <c r="B56" s="8">
        <v>51</v>
      </c>
      <c r="C56" s="6"/>
      <c r="D56" s="6"/>
      <c r="E56" s="6"/>
      <c r="F56" s="2"/>
      <c r="G56" s="4"/>
      <c r="H56" s="2"/>
      <c r="I56" s="2"/>
      <c r="J56" s="2"/>
      <c r="K56" s="6"/>
      <c r="L56" s="21"/>
      <c r="M56" s="4"/>
      <c r="N56" s="4"/>
      <c r="O56" s="4"/>
    </row>
    <row r="57" spans="1:15" ht="34.5" customHeight="1" x14ac:dyDescent="0.25">
      <c r="B57" s="8">
        <v>52</v>
      </c>
      <c r="C57" s="6"/>
      <c r="D57" s="6"/>
      <c r="E57" s="6"/>
      <c r="F57" s="2"/>
      <c r="G57" s="4"/>
      <c r="H57" s="2"/>
      <c r="I57" s="2"/>
      <c r="J57" s="2"/>
      <c r="K57" s="6"/>
      <c r="L57" s="21"/>
      <c r="M57" s="4"/>
      <c r="N57" s="4"/>
      <c r="O57" s="4"/>
    </row>
    <row r="58" spans="1:15" ht="34.5" customHeight="1" x14ac:dyDescent="0.25">
      <c r="B58" s="8">
        <v>53</v>
      </c>
      <c r="C58" s="6"/>
      <c r="D58" s="6"/>
      <c r="E58" s="6"/>
      <c r="F58" s="2"/>
      <c r="G58" s="4"/>
      <c r="H58" s="2"/>
      <c r="I58" s="2"/>
      <c r="J58" s="2"/>
      <c r="K58" s="6"/>
      <c r="L58" s="21"/>
      <c r="M58" s="4"/>
      <c r="N58" s="4"/>
      <c r="O58" s="4"/>
    </row>
    <row r="59" spans="1:15" ht="34.5" customHeight="1" x14ac:dyDescent="0.25">
      <c r="B59" s="8">
        <v>54</v>
      </c>
      <c r="C59" s="6"/>
      <c r="D59" s="6"/>
      <c r="E59" s="6"/>
      <c r="F59" s="2"/>
      <c r="G59" s="4"/>
      <c r="H59" s="2"/>
      <c r="I59" s="2"/>
      <c r="J59" s="2"/>
      <c r="K59" s="6"/>
      <c r="L59" s="21"/>
      <c r="M59" s="4"/>
      <c r="N59" s="4"/>
      <c r="O59" s="4"/>
    </row>
    <row r="60" spans="1:15" ht="34.5" customHeight="1" x14ac:dyDescent="0.25">
      <c r="B60" s="8">
        <v>55</v>
      </c>
      <c r="C60" s="6"/>
      <c r="D60" s="6"/>
      <c r="E60" s="6"/>
      <c r="F60" s="2"/>
      <c r="G60" s="4"/>
      <c r="H60" s="2"/>
      <c r="I60" s="2"/>
      <c r="J60" s="2"/>
      <c r="K60" s="6"/>
      <c r="L60" s="21"/>
      <c r="M60" s="4"/>
      <c r="N60" s="4"/>
      <c r="O60" s="4"/>
    </row>
    <row r="61" spans="1:15" ht="34.5" customHeight="1" x14ac:dyDescent="0.25">
      <c r="B61" s="8">
        <v>56</v>
      </c>
      <c r="C61" s="6"/>
      <c r="D61" s="6"/>
      <c r="E61" s="6"/>
      <c r="F61" s="2"/>
      <c r="G61" s="4"/>
      <c r="H61" s="2"/>
      <c r="I61" s="2"/>
      <c r="J61" s="2"/>
      <c r="K61" s="6"/>
      <c r="L61" s="21"/>
      <c r="M61" s="4"/>
      <c r="N61" s="4"/>
      <c r="O61" s="4"/>
    </row>
    <row r="62" spans="1:15" ht="34.5" customHeight="1" x14ac:dyDescent="0.25">
      <c r="B62" s="8">
        <v>57</v>
      </c>
      <c r="C62" s="6"/>
      <c r="D62" s="6"/>
      <c r="E62" s="6"/>
      <c r="F62" s="2"/>
      <c r="G62" s="4"/>
      <c r="H62" s="2"/>
      <c r="I62" s="2"/>
      <c r="J62" s="2"/>
      <c r="K62" s="6"/>
      <c r="L62" s="21"/>
      <c r="M62" s="4"/>
      <c r="N62" s="4"/>
      <c r="O62" s="4"/>
    </row>
    <row r="63" spans="1:15" ht="34.5" customHeight="1" x14ac:dyDescent="0.25">
      <c r="B63" s="8">
        <v>58</v>
      </c>
      <c r="C63" s="6"/>
      <c r="D63" s="6"/>
      <c r="E63" s="6"/>
      <c r="F63" s="2"/>
      <c r="G63" s="4"/>
      <c r="H63" s="2"/>
      <c r="I63" s="2"/>
      <c r="J63" s="2"/>
      <c r="K63" s="6"/>
      <c r="L63" s="21"/>
      <c r="M63" s="4"/>
      <c r="N63" s="4"/>
      <c r="O63" s="4"/>
    </row>
    <row r="64" spans="1:15" ht="34.5" customHeight="1" x14ac:dyDescent="0.25">
      <c r="B64" s="8">
        <v>59</v>
      </c>
      <c r="C64" s="6"/>
      <c r="D64" s="6"/>
      <c r="E64" s="6"/>
      <c r="F64" s="2"/>
      <c r="G64" s="4"/>
      <c r="H64" s="2"/>
      <c r="I64" s="2"/>
      <c r="J64" s="2"/>
      <c r="K64" s="6"/>
      <c r="L64" s="21"/>
      <c r="M64" s="4"/>
      <c r="N64" s="4"/>
      <c r="O64" s="4"/>
    </row>
    <row r="65" spans="2:15" ht="34.5" customHeight="1" x14ac:dyDescent="0.25">
      <c r="B65" s="8">
        <v>60</v>
      </c>
      <c r="C65" s="6"/>
      <c r="D65" s="6"/>
      <c r="E65" s="6"/>
      <c r="F65" s="2"/>
      <c r="G65" s="4"/>
      <c r="H65" s="2"/>
      <c r="I65" s="2"/>
      <c r="J65" s="2"/>
      <c r="K65" s="6"/>
      <c r="L65" s="21"/>
      <c r="M65" s="4"/>
      <c r="N65" s="4"/>
      <c r="O65" s="4"/>
    </row>
    <row r="66" spans="2:15" ht="34.5" customHeight="1" x14ac:dyDescent="0.25">
      <c r="B66" s="8">
        <v>61</v>
      </c>
      <c r="C66" s="6"/>
      <c r="D66" s="6"/>
      <c r="E66" s="6"/>
      <c r="F66" s="2"/>
      <c r="G66" s="4"/>
      <c r="H66" s="2"/>
      <c r="I66" s="2"/>
      <c r="J66" s="2"/>
      <c r="K66" s="6"/>
      <c r="L66" s="21"/>
      <c r="M66" s="4"/>
      <c r="N66" s="4"/>
      <c r="O66" s="4"/>
    </row>
    <row r="67" spans="2:15" ht="34.5" customHeight="1" x14ac:dyDescent="0.25">
      <c r="B67" s="8">
        <v>62</v>
      </c>
      <c r="C67" s="6"/>
      <c r="D67" s="6"/>
      <c r="E67" s="6"/>
      <c r="F67" s="2"/>
      <c r="G67" s="4"/>
      <c r="H67" s="2"/>
      <c r="I67" s="2"/>
      <c r="J67" s="2"/>
      <c r="K67" s="6"/>
      <c r="L67" s="21"/>
      <c r="M67" s="4"/>
      <c r="N67" s="4"/>
      <c r="O67" s="4"/>
    </row>
    <row r="68" spans="2:15" ht="34.5" customHeight="1" x14ac:dyDescent="0.25">
      <c r="B68" s="8">
        <v>63</v>
      </c>
      <c r="C68" s="6"/>
      <c r="D68" s="6"/>
      <c r="E68" s="6"/>
      <c r="F68" s="2"/>
      <c r="G68" s="4"/>
      <c r="H68" s="2"/>
      <c r="I68" s="2"/>
      <c r="J68" s="2"/>
      <c r="K68" s="6"/>
      <c r="L68" s="21"/>
      <c r="M68" s="4"/>
      <c r="N68" s="4"/>
      <c r="O68" s="4"/>
    </row>
    <row r="69" spans="2:15" ht="34.5" customHeight="1" x14ac:dyDescent="0.25">
      <c r="B69" s="8">
        <v>64</v>
      </c>
      <c r="C69" s="6"/>
      <c r="D69" s="6"/>
      <c r="E69" s="6"/>
      <c r="F69" s="2"/>
      <c r="G69" s="4"/>
      <c r="H69" s="2"/>
      <c r="I69" s="2"/>
      <c r="J69" s="2"/>
      <c r="K69" s="6"/>
      <c r="L69" s="21"/>
      <c r="M69" s="4"/>
      <c r="N69" s="4"/>
      <c r="O69" s="4"/>
    </row>
    <row r="70" spans="2:15" ht="34.5" customHeight="1" x14ac:dyDescent="0.25">
      <c r="B70" s="8">
        <v>65</v>
      </c>
      <c r="C70" s="6"/>
      <c r="D70" s="6"/>
      <c r="E70" s="6"/>
      <c r="F70" s="4"/>
      <c r="G70" s="4"/>
      <c r="H70" s="4"/>
      <c r="I70" s="4"/>
      <c r="J70" s="4"/>
      <c r="K70" s="6"/>
      <c r="L70" s="21"/>
      <c r="M70" s="4"/>
      <c r="N70" s="4"/>
      <c r="O70" s="4"/>
    </row>
    <row r="71" spans="2:15" ht="34.5" customHeight="1" x14ac:dyDescent="0.25">
      <c r="B71" s="8">
        <v>66</v>
      </c>
      <c r="C71" s="6"/>
      <c r="D71" s="6"/>
      <c r="E71" s="6"/>
      <c r="F71" s="4"/>
      <c r="G71" s="4"/>
      <c r="H71" s="4"/>
      <c r="I71" s="4"/>
      <c r="J71" s="4"/>
      <c r="K71" s="6"/>
      <c r="L71" s="21"/>
      <c r="M71" s="4"/>
      <c r="N71" s="4"/>
      <c r="O71" s="4"/>
    </row>
    <row r="72" spans="2:15" ht="34.5" customHeight="1" x14ac:dyDescent="0.25">
      <c r="B72" s="8">
        <v>67</v>
      </c>
      <c r="C72" s="6"/>
      <c r="D72" s="6"/>
      <c r="E72" s="11"/>
      <c r="F72" s="4"/>
      <c r="G72" s="4"/>
      <c r="H72" s="4"/>
      <c r="I72" s="4"/>
      <c r="J72" s="4"/>
      <c r="K72" s="6"/>
      <c r="L72" s="21"/>
      <c r="M72" s="4"/>
      <c r="N72" s="4"/>
      <c r="O72" s="4"/>
    </row>
    <row r="73" spans="2:15" ht="34.5" customHeight="1" x14ac:dyDescent="0.25">
      <c r="B73" s="8">
        <v>68</v>
      </c>
      <c r="C73" s="6"/>
      <c r="D73" s="13"/>
      <c r="E73" s="6"/>
      <c r="F73" s="4"/>
      <c r="G73" s="4"/>
      <c r="H73" s="4"/>
      <c r="I73" s="4"/>
      <c r="J73" s="4"/>
      <c r="K73" s="6"/>
      <c r="L73" s="21"/>
      <c r="M73" s="4"/>
      <c r="N73" s="4"/>
      <c r="O73" s="4"/>
    </row>
    <row r="74" spans="2:15" ht="34.5" customHeight="1" x14ac:dyDescent="0.25">
      <c r="B74" s="8">
        <v>70</v>
      </c>
      <c r="C74" s="6"/>
      <c r="D74" s="6"/>
      <c r="E74" s="6"/>
      <c r="F74" s="4"/>
      <c r="G74" s="4"/>
      <c r="H74" s="4"/>
      <c r="I74" s="4"/>
      <c r="J74" s="4"/>
      <c r="K74" s="6"/>
      <c r="L74" s="21"/>
      <c r="M74" s="4"/>
      <c r="N74" s="4"/>
      <c r="O74" s="4"/>
    </row>
    <row r="75" spans="2:15" ht="34.5" customHeight="1" x14ac:dyDescent="0.25">
      <c r="B75" s="8">
        <v>71</v>
      </c>
      <c r="C75" s="6"/>
      <c r="D75" s="6"/>
      <c r="E75" s="6"/>
      <c r="F75" s="4"/>
      <c r="G75" s="4"/>
      <c r="H75" s="4"/>
      <c r="I75" s="4"/>
      <c r="J75" s="4"/>
      <c r="K75" s="11"/>
      <c r="L75" s="21"/>
      <c r="M75" s="4"/>
      <c r="N75" s="4"/>
      <c r="O75" s="4"/>
    </row>
    <row r="76" spans="2:15" ht="34.5" customHeight="1" x14ac:dyDescent="0.25">
      <c r="B76" s="8">
        <v>72</v>
      </c>
      <c r="C76" s="6"/>
      <c r="D76" s="6"/>
      <c r="E76" s="6"/>
      <c r="F76" s="4"/>
      <c r="G76" s="4"/>
      <c r="H76" s="4"/>
      <c r="I76" s="4"/>
      <c r="J76" s="4"/>
      <c r="K76" s="11"/>
      <c r="L76" s="21"/>
      <c r="M76" s="4"/>
      <c r="N76" s="4"/>
      <c r="O76" s="4"/>
    </row>
    <row r="77" spans="2:15" ht="34.5" customHeight="1" x14ac:dyDescent="0.25">
      <c r="B77" s="8">
        <v>73</v>
      </c>
      <c r="C77" s="6"/>
      <c r="D77" s="6"/>
      <c r="E77" s="6"/>
      <c r="F77" s="4"/>
      <c r="G77" s="4"/>
      <c r="H77" s="4"/>
      <c r="I77" s="4"/>
      <c r="J77" s="4"/>
      <c r="K77" s="6"/>
      <c r="L77" s="21"/>
      <c r="M77" s="4"/>
      <c r="N77" s="4"/>
      <c r="O77" s="4"/>
    </row>
    <row r="78" spans="2:15" ht="34.5" customHeight="1" x14ac:dyDescent="0.25">
      <c r="B78" s="8">
        <v>74</v>
      </c>
      <c r="C78" s="6"/>
      <c r="D78" s="6"/>
      <c r="E78" s="6"/>
      <c r="F78" s="4"/>
      <c r="G78" s="4"/>
      <c r="H78" s="4"/>
      <c r="I78" s="4"/>
      <c r="J78" s="4"/>
      <c r="K78" s="11"/>
      <c r="L78" s="21"/>
      <c r="M78" s="4"/>
      <c r="N78" s="4"/>
      <c r="O78" s="4"/>
    </row>
    <row r="79" spans="2:15" ht="34.5" customHeight="1" x14ac:dyDescent="0.25">
      <c r="B79" s="8">
        <v>75</v>
      </c>
      <c r="C79" s="6"/>
      <c r="D79" s="6"/>
      <c r="E79" s="6"/>
      <c r="F79" s="4"/>
      <c r="G79" s="4"/>
      <c r="H79" s="4"/>
      <c r="I79" s="4"/>
      <c r="J79" s="4"/>
      <c r="K79" s="6"/>
      <c r="L79" s="21"/>
      <c r="M79" s="4"/>
      <c r="N79" s="4"/>
      <c r="O79" s="4"/>
    </row>
    <row r="80" spans="2:15" ht="34.5" customHeight="1" x14ac:dyDescent="0.25">
      <c r="B80" s="8">
        <v>76</v>
      </c>
      <c r="C80" s="6"/>
      <c r="D80" s="6"/>
      <c r="E80" s="6"/>
      <c r="F80" s="4"/>
      <c r="G80" s="4"/>
      <c r="H80" s="4"/>
      <c r="I80" s="4"/>
      <c r="J80" s="4"/>
      <c r="K80" s="11"/>
      <c r="L80" s="21"/>
      <c r="M80" s="4"/>
      <c r="N80" s="4"/>
      <c r="O80" s="4"/>
    </row>
    <row r="81" spans="2:15" ht="34.5" customHeight="1" x14ac:dyDescent="0.25">
      <c r="B81" s="8">
        <v>77</v>
      </c>
      <c r="C81" s="6"/>
      <c r="D81" s="6"/>
      <c r="E81" s="6"/>
      <c r="F81" s="4"/>
      <c r="G81" s="4"/>
      <c r="H81" s="4"/>
      <c r="I81" s="4"/>
      <c r="J81" s="4"/>
      <c r="K81" s="6"/>
      <c r="L81" s="21"/>
      <c r="M81" s="4"/>
      <c r="N81" s="4"/>
      <c r="O81" s="4"/>
    </row>
    <row r="82" spans="2:15" ht="34.5" customHeight="1" x14ac:dyDescent="0.25">
      <c r="B82" s="8">
        <v>78</v>
      </c>
      <c r="C82" s="6"/>
      <c r="D82" s="6"/>
      <c r="E82" s="6"/>
      <c r="F82" s="4"/>
      <c r="G82" s="4"/>
      <c r="H82" s="4"/>
      <c r="I82" s="4"/>
      <c r="J82" s="4"/>
      <c r="K82" s="6"/>
      <c r="L82" s="21"/>
      <c r="M82" s="4"/>
      <c r="N82" s="4"/>
      <c r="O82" s="4"/>
    </row>
    <row r="83" spans="2:15" ht="34.5" customHeight="1" x14ac:dyDescent="0.25">
      <c r="B83" s="8">
        <v>79</v>
      </c>
      <c r="C83" s="6"/>
      <c r="D83" s="6"/>
      <c r="E83" s="6"/>
      <c r="F83" s="4"/>
      <c r="G83" s="4"/>
      <c r="H83" s="4"/>
      <c r="I83" s="4"/>
      <c r="J83" s="4"/>
      <c r="K83" s="6"/>
      <c r="L83" s="21"/>
      <c r="M83" s="4"/>
      <c r="N83" s="4"/>
      <c r="O83" s="4"/>
    </row>
    <row r="84" spans="2:15" ht="34.5" customHeight="1" x14ac:dyDescent="0.25">
      <c r="B84" s="8">
        <v>80</v>
      </c>
      <c r="C84" s="6"/>
      <c r="D84" s="6"/>
      <c r="E84" s="6"/>
      <c r="F84" s="4"/>
      <c r="G84" s="4"/>
      <c r="H84" s="4"/>
      <c r="I84" s="4"/>
      <c r="J84" s="4"/>
      <c r="K84" s="6"/>
      <c r="L84" s="21"/>
      <c r="M84" s="4"/>
      <c r="N84" s="4"/>
      <c r="O84" s="4"/>
    </row>
    <row r="85" spans="2:15" ht="34.5" customHeight="1" x14ac:dyDescent="0.25">
      <c r="B85" s="8">
        <v>81</v>
      </c>
      <c r="C85" s="6"/>
      <c r="D85" s="6"/>
      <c r="E85" s="6"/>
      <c r="F85" s="4"/>
      <c r="G85" s="4"/>
      <c r="H85" s="4"/>
      <c r="I85" s="4"/>
      <c r="J85" s="4"/>
      <c r="K85" s="11"/>
      <c r="L85" s="21"/>
      <c r="M85" s="4"/>
      <c r="N85" s="4"/>
      <c r="O85" s="4"/>
    </row>
    <row r="86" spans="2:15" ht="34.5" customHeight="1" x14ac:dyDescent="0.25">
      <c r="B86" s="8">
        <v>82</v>
      </c>
      <c r="C86" s="6"/>
      <c r="D86" s="6"/>
      <c r="E86" s="6"/>
      <c r="F86" s="4"/>
      <c r="G86" s="4"/>
      <c r="H86" s="4"/>
      <c r="I86" s="4"/>
      <c r="J86" s="4"/>
      <c r="K86" s="6"/>
      <c r="L86" s="21"/>
      <c r="M86" s="4"/>
      <c r="N86" s="4"/>
      <c r="O86" s="4"/>
    </row>
    <row r="87" spans="2:15" ht="34.5" customHeight="1" x14ac:dyDescent="0.25">
      <c r="B87" s="8">
        <v>83</v>
      </c>
      <c r="C87" s="6"/>
      <c r="D87" s="6"/>
      <c r="E87" s="6"/>
      <c r="F87" s="4"/>
      <c r="G87" s="4"/>
      <c r="H87" s="4"/>
      <c r="I87" s="4"/>
      <c r="J87" s="4"/>
      <c r="K87" s="6"/>
      <c r="L87" s="21"/>
      <c r="M87" s="4"/>
      <c r="N87" s="4"/>
      <c r="O87" s="4"/>
    </row>
    <row r="88" spans="2:15" ht="34.5" customHeight="1" x14ac:dyDescent="0.25">
      <c r="B88" s="8">
        <v>84</v>
      </c>
      <c r="C88" s="6"/>
      <c r="D88" s="6"/>
      <c r="E88" s="6"/>
      <c r="F88" s="4"/>
      <c r="G88" s="4"/>
      <c r="H88" s="4"/>
      <c r="I88" s="4"/>
      <c r="J88" s="4"/>
      <c r="K88" s="6"/>
      <c r="L88" s="21"/>
      <c r="M88" s="4"/>
      <c r="N88" s="4"/>
      <c r="O88" s="4"/>
    </row>
    <row r="89" spans="2:15" ht="34.5" customHeight="1" x14ac:dyDescent="0.25">
      <c r="B89" s="8">
        <v>85</v>
      </c>
      <c r="C89" s="6"/>
      <c r="D89" s="6"/>
      <c r="E89" s="6"/>
      <c r="F89" s="4"/>
      <c r="G89" s="4"/>
      <c r="H89" s="4"/>
      <c r="I89" s="4"/>
      <c r="J89" s="4"/>
      <c r="K89" s="6"/>
      <c r="L89" s="21"/>
      <c r="M89" s="4"/>
      <c r="N89" s="4"/>
      <c r="O89" s="4"/>
    </row>
    <row r="90" spans="2:15" ht="34.5" customHeight="1" x14ac:dyDescent="0.25">
      <c r="B90" s="8">
        <v>86</v>
      </c>
      <c r="C90" s="6"/>
      <c r="D90" s="6"/>
      <c r="E90" s="6"/>
      <c r="F90" s="4"/>
      <c r="G90" s="4"/>
      <c r="H90" s="4"/>
      <c r="I90" s="4"/>
      <c r="J90" s="4"/>
      <c r="K90" s="6"/>
      <c r="L90" s="21"/>
      <c r="M90" s="4"/>
      <c r="N90" s="4"/>
      <c r="O90" s="4"/>
    </row>
    <row r="91" spans="2:15" ht="34.5" customHeight="1" x14ac:dyDescent="0.25">
      <c r="B91" s="8">
        <v>87</v>
      </c>
      <c r="C91" s="6"/>
      <c r="D91" s="6"/>
      <c r="E91" s="6"/>
      <c r="F91" s="4"/>
      <c r="G91" s="4"/>
      <c r="H91" s="4"/>
      <c r="I91" s="4"/>
      <c r="J91" s="4"/>
      <c r="K91" s="6"/>
      <c r="L91" s="21"/>
      <c r="M91" s="4"/>
      <c r="N91" s="4"/>
      <c r="O91" s="4"/>
    </row>
    <row r="92" spans="2:15" ht="34.5" customHeight="1" x14ac:dyDescent="0.25">
      <c r="B92" s="8">
        <v>88</v>
      </c>
      <c r="C92" s="6"/>
      <c r="D92" s="6"/>
      <c r="E92" s="6"/>
      <c r="F92" s="4"/>
      <c r="G92" s="4"/>
      <c r="H92" s="4"/>
      <c r="I92" s="4"/>
      <c r="J92" s="4"/>
      <c r="K92" s="6"/>
      <c r="L92" s="21"/>
      <c r="M92" s="4"/>
      <c r="N92" s="4"/>
      <c r="O92" s="4"/>
    </row>
    <row r="93" spans="2:15" ht="34.5" customHeight="1" x14ac:dyDescent="0.25">
      <c r="B93" s="8">
        <v>89</v>
      </c>
      <c r="C93" s="6"/>
      <c r="D93" s="6"/>
      <c r="E93" s="6"/>
      <c r="F93" s="4"/>
      <c r="G93" s="4"/>
      <c r="H93" s="4"/>
      <c r="I93" s="4"/>
      <c r="J93" s="4"/>
      <c r="K93" s="6"/>
      <c r="L93" s="21"/>
      <c r="M93" s="4"/>
      <c r="N93" s="4"/>
      <c r="O93" s="4"/>
    </row>
    <row r="94" spans="2:15" ht="34.5" customHeight="1" x14ac:dyDescent="0.25">
      <c r="B94" s="8">
        <v>90</v>
      </c>
      <c r="C94" s="6"/>
      <c r="D94" s="6"/>
      <c r="E94" s="6"/>
      <c r="F94" s="4"/>
      <c r="G94" s="4"/>
      <c r="H94" s="4"/>
      <c r="I94" s="4"/>
      <c r="J94" s="4"/>
      <c r="K94" s="6"/>
      <c r="L94" s="21"/>
      <c r="M94" s="4"/>
      <c r="N94" s="4"/>
      <c r="O94" s="4"/>
    </row>
  </sheetData>
  <autoFilter ref="B6:H6" xr:uid="{DE5BDC5D-1296-4730-B3C4-599B23F43809}"/>
  <pageMargins left="0.7" right="0.7" top="0.75" bottom="0.75" header="0.3" footer="0.3"/>
  <pageSetup paperSize="9" scale="74" fitToHeight="0" orientation="landscape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88E1-EB55-4598-B810-C585F75A9B1B}">
  <sheetPr>
    <pageSetUpPr fitToPage="1"/>
  </sheetPr>
  <dimension ref="B1:Q9"/>
  <sheetViews>
    <sheetView zoomScale="80" workbookViewId="0">
      <pane ySplit="7" topLeftCell="A8" activePane="bottomLeft" state="frozen"/>
      <selection pane="bottomLeft" activeCell="L2" sqref="L2"/>
    </sheetView>
  </sheetViews>
  <sheetFormatPr defaultRowHeight="15" x14ac:dyDescent="0.25"/>
  <cols>
    <col min="1" max="1" width="5.140625" customWidth="1"/>
    <col min="2" max="2" width="10" style="10" customWidth="1"/>
    <col min="3" max="3" width="9.42578125" style="10" customWidth="1"/>
    <col min="4" max="4" width="45" style="7" customWidth="1"/>
    <col min="5" max="5" width="26.140625" style="7" customWidth="1"/>
    <col min="6" max="6" width="65.140625" style="7" customWidth="1"/>
    <col min="7" max="7" width="31.28515625" hidden="1" customWidth="1"/>
    <col min="8" max="8" width="27.28515625" style="5" hidden="1" customWidth="1"/>
    <col min="9" max="9" width="41.140625" hidden="1" customWidth="1"/>
    <col min="10" max="10" width="19.140625" hidden="1" customWidth="1"/>
    <col min="11" max="11" width="13.85546875" hidden="1" customWidth="1"/>
    <col min="12" max="12" width="55" style="5" customWidth="1"/>
    <col min="13" max="13" width="18.7109375" style="5" customWidth="1"/>
    <col min="14" max="14" width="21.28515625" style="5" customWidth="1"/>
    <col min="15" max="15" width="18.5703125" style="5" customWidth="1"/>
    <col min="16" max="16" width="18.85546875" style="5" customWidth="1"/>
    <col min="17" max="17" width="23.42578125" style="5" customWidth="1"/>
  </cols>
  <sheetData>
    <row r="1" spans="2:17" ht="33.75" customHeight="1" x14ac:dyDescent="0.25">
      <c r="D1" s="18" t="s">
        <v>192</v>
      </c>
    </row>
    <row r="7" spans="2:17" ht="47.45" customHeight="1" x14ac:dyDescent="0.25">
      <c r="B7" s="3" t="s">
        <v>270</v>
      </c>
      <c r="C7" s="3" t="s">
        <v>1</v>
      </c>
      <c r="D7" s="3" t="s">
        <v>0</v>
      </c>
      <c r="E7" s="3" t="s">
        <v>1</v>
      </c>
      <c r="F7" s="3" t="s">
        <v>2</v>
      </c>
      <c r="G7" s="3" t="s">
        <v>3</v>
      </c>
      <c r="H7" s="3" t="s">
        <v>5</v>
      </c>
      <c r="I7" s="3" t="s">
        <v>4</v>
      </c>
      <c r="J7" s="3" t="s">
        <v>21</v>
      </c>
      <c r="K7" s="3" t="s">
        <v>22</v>
      </c>
      <c r="L7" s="3" t="s">
        <v>86</v>
      </c>
      <c r="M7" s="3" t="s">
        <v>269</v>
      </c>
      <c r="N7" s="3" t="s">
        <v>127</v>
      </c>
      <c r="O7" s="3" t="s">
        <v>93</v>
      </c>
      <c r="P7" s="3" t="s">
        <v>94</v>
      </c>
      <c r="Q7" s="3" t="s">
        <v>95</v>
      </c>
    </row>
    <row r="8" spans="2:17" ht="34.5" customHeight="1" x14ac:dyDescent="0.25">
      <c r="B8" s="8">
        <v>104</v>
      </c>
      <c r="C8" s="8" t="s">
        <v>275</v>
      </c>
      <c r="D8" s="6" t="s">
        <v>265</v>
      </c>
      <c r="E8" s="6" t="s">
        <v>264</v>
      </c>
      <c r="F8" s="6" t="s">
        <v>33</v>
      </c>
      <c r="G8" s="4"/>
      <c r="H8" s="4"/>
      <c r="I8" s="4"/>
      <c r="J8" s="4"/>
      <c r="K8" s="4"/>
      <c r="L8" s="6" t="s">
        <v>266</v>
      </c>
      <c r="M8" s="6"/>
      <c r="N8" s="21"/>
      <c r="O8" s="4"/>
      <c r="P8" s="4"/>
      <c r="Q8" s="4"/>
    </row>
    <row r="9" spans="2:17" ht="12.75" customHeight="1" x14ac:dyDescent="0.25"/>
  </sheetData>
  <autoFilter ref="B7:I7" xr:uid="{DE5BDC5D-1296-4730-B3C4-599B23F43809}"/>
  <pageMargins left="0.7" right="0.7" top="0.75" bottom="0.75" header="0.3" footer="0.3"/>
  <pageSetup paperSize="9" scale="74" fitToHeight="0" orientation="landscape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5CAB-F1C3-4FC1-BA85-670A071FE5E4}">
  <sheetPr>
    <pageSetUpPr fitToPage="1"/>
  </sheetPr>
  <dimension ref="B1:Q19"/>
  <sheetViews>
    <sheetView topLeftCell="A7" zoomScale="80" workbookViewId="0">
      <selection activeCell="M3" sqref="M3"/>
    </sheetView>
  </sheetViews>
  <sheetFormatPr defaultRowHeight="15" x14ac:dyDescent="0.25"/>
  <cols>
    <col min="1" max="1" width="5.140625" customWidth="1"/>
    <col min="2" max="2" width="10" style="10" customWidth="1"/>
    <col min="3" max="3" width="9.42578125" style="10" customWidth="1"/>
    <col min="4" max="4" width="45" style="7" customWidth="1"/>
    <col min="5" max="5" width="26.140625" style="7" customWidth="1"/>
    <col min="6" max="6" width="65.140625" style="7" customWidth="1"/>
    <col min="7" max="7" width="31.28515625" hidden="1" customWidth="1"/>
    <col min="8" max="8" width="27.28515625" style="5" hidden="1" customWidth="1"/>
    <col min="9" max="9" width="41.140625" hidden="1" customWidth="1"/>
    <col min="10" max="10" width="19.140625" hidden="1" customWidth="1"/>
    <col min="11" max="11" width="13.85546875" hidden="1" customWidth="1"/>
    <col min="12" max="12" width="55" style="5" customWidth="1"/>
    <col min="13" max="13" width="18.7109375" style="5" customWidth="1"/>
    <col min="14" max="14" width="21.28515625" style="5" customWidth="1"/>
    <col min="15" max="15" width="18.5703125" style="5" customWidth="1"/>
    <col min="16" max="16" width="18.85546875" style="5" customWidth="1"/>
    <col min="17" max="17" width="23.42578125" style="5" customWidth="1"/>
  </cols>
  <sheetData>
    <row r="1" spans="2:17" ht="33.75" customHeight="1" x14ac:dyDescent="0.25">
      <c r="D1" s="18" t="s">
        <v>192</v>
      </c>
    </row>
    <row r="2" spans="2:17" x14ac:dyDescent="0.25">
      <c r="L2" s="15" t="s">
        <v>98</v>
      </c>
    </row>
    <row r="3" spans="2:17" x14ac:dyDescent="0.25">
      <c r="L3" s="16" t="s">
        <v>99</v>
      </c>
    </row>
    <row r="4" spans="2:17" x14ac:dyDescent="0.25">
      <c r="L4" s="19" t="s">
        <v>100</v>
      </c>
    </row>
    <row r="7" spans="2:17" ht="47.45" customHeight="1" x14ac:dyDescent="0.25">
      <c r="B7" s="3" t="s">
        <v>270</v>
      </c>
      <c r="C7" s="3" t="s">
        <v>1</v>
      </c>
      <c r="D7" s="3" t="s">
        <v>0</v>
      </c>
      <c r="E7" s="3" t="s">
        <v>1</v>
      </c>
      <c r="F7" s="3" t="s">
        <v>2</v>
      </c>
      <c r="G7" s="3" t="s">
        <v>3</v>
      </c>
      <c r="H7" s="3" t="s">
        <v>5</v>
      </c>
      <c r="I7" s="3" t="s">
        <v>4</v>
      </c>
      <c r="J7" s="3" t="s">
        <v>21</v>
      </c>
      <c r="K7" s="3" t="s">
        <v>22</v>
      </c>
      <c r="L7" s="3" t="s">
        <v>86</v>
      </c>
      <c r="M7" s="3" t="s">
        <v>269</v>
      </c>
      <c r="N7" s="3" t="s">
        <v>127</v>
      </c>
      <c r="O7" s="3" t="s">
        <v>93</v>
      </c>
      <c r="P7" s="3" t="s">
        <v>94</v>
      </c>
      <c r="Q7" s="3" t="s">
        <v>95</v>
      </c>
    </row>
    <row r="8" spans="2:17" ht="34.5" customHeight="1" x14ac:dyDescent="0.25">
      <c r="B8" s="8">
        <v>1</v>
      </c>
      <c r="C8" s="8"/>
      <c r="D8" s="13" t="s">
        <v>14</v>
      </c>
      <c r="E8" s="13" t="s">
        <v>15</v>
      </c>
      <c r="F8" s="13" t="s">
        <v>16</v>
      </c>
      <c r="G8" s="1"/>
      <c r="H8" s="4"/>
      <c r="I8" s="2"/>
      <c r="J8" s="2"/>
      <c r="K8" s="2"/>
      <c r="L8" s="14" t="s">
        <v>105</v>
      </c>
      <c r="M8" s="14"/>
      <c r="N8" s="6"/>
      <c r="O8" s="4"/>
      <c r="P8" s="4"/>
      <c r="Q8" s="4"/>
    </row>
    <row r="9" spans="2:17" ht="34.5" customHeight="1" x14ac:dyDescent="0.25">
      <c r="B9" s="8">
        <v>2</v>
      </c>
      <c r="C9" s="8"/>
      <c r="D9" s="13" t="s">
        <v>17</v>
      </c>
      <c r="E9" s="13" t="s">
        <v>18</v>
      </c>
      <c r="F9" s="13" t="s">
        <v>33</v>
      </c>
      <c r="G9" s="1"/>
      <c r="H9" s="1"/>
      <c r="I9" s="2"/>
      <c r="J9" s="2"/>
      <c r="K9" s="2"/>
      <c r="L9" s="14" t="s">
        <v>90</v>
      </c>
      <c r="M9" s="14"/>
      <c r="N9" s="6"/>
      <c r="O9" s="4"/>
      <c r="P9" s="4"/>
      <c r="Q9" s="4"/>
    </row>
    <row r="10" spans="2:17" ht="34.5" customHeight="1" x14ac:dyDescent="0.25">
      <c r="B10" s="8">
        <v>3</v>
      </c>
      <c r="C10" s="8"/>
      <c r="D10" s="13" t="s">
        <v>19</v>
      </c>
      <c r="E10" s="13" t="s">
        <v>20</v>
      </c>
      <c r="F10" s="13" t="s">
        <v>33</v>
      </c>
      <c r="G10" s="1"/>
      <c r="H10" s="1"/>
      <c r="I10" s="2"/>
      <c r="J10" s="2"/>
      <c r="K10" s="2"/>
      <c r="L10" s="14" t="s">
        <v>88</v>
      </c>
      <c r="M10" s="14"/>
      <c r="N10" s="6"/>
      <c r="O10" s="4"/>
      <c r="P10" s="4"/>
      <c r="Q10" s="4"/>
    </row>
    <row r="11" spans="2:17" ht="34.5" customHeight="1" x14ac:dyDescent="0.25">
      <c r="B11" s="8">
        <v>4</v>
      </c>
      <c r="C11" s="8" t="s">
        <v>273</v>
      </c>
      <c r="D11" s="6" t="s">
        <v>68</v>
      </c>
      <c r="E11" s="6" t="s">
        <v>18</v>
      </c>
      <c r="F11" s="6" t="s">
        <v>132</v>
      </c>
      <c r="G11" s="2"/>
      <c r="H11" s="4"/>
      <c r="I11" s="2"/>
      <c r="J11" s="2"/>
      <c r="K11" s="2"/>
      <c r="L11" s="14" t="s">
        <v>87</v>
      </c>
      <c r="M11" s="14"/>
      <c r="N11" s="6"/>
      <c r="O11" s="4" t="s">
        <v>96</v>
      </c>
      <c r="P11" s="4"/>
      <c r="Q11" s="4"/>
    </row>
    <row r="12" spans="2:17" ht="34.5" customHeight="1" x14ac:dyDescent="0.25">
      <c r="B12" s="8">
        <v>5</v>
      </c>
      <c r="C12" s="8"/>
      <c r="D12" s="6" t="s">
        <v>69</v>
      </c>
      <c r="E12" s="13" t="s">
        <v>20</v>
      </c>
      <c r="F12" s="13" t="s">
        <v>33</v>
      </c>
      <c r="G12" s="2"/>
      <c r="H12" s="4"/>
      <c r="I12" s="2"/>
      <c r="J12" s="2"/>
      <c r="K12" s="2"/>
      <c r="L12" s="17" t="s">
        <v>87</v>
      </c>
      <c r="M12" s="17"/>
      <c r="N12" s="6"/>
      <c r="O12" s="4"/>
      <c r="P12" s="4"/>
      <c r="Q12" s="4"/>
    </row>
    <row r="13" spans="2:17" ht="34.5" customHeight="1" x14ac:dyDescent="0.25">
      <c r="B13" s="8">
        <v>6</v>
      </c>
      <c r="C13" s="8"/>
      <c r="D13" s="6" t="s">
        <v>25</v>
      </c>
      <c r="E13" s="6" t="s">
        <v>28</v>
      </c>
      <c r="F13" s="11" t="s">
        <v>37</v>
      </c>
      <c r="G13" s="2"/>
      <c r="H13" s="4"/>
      <c r="I13" s="2"/>
      <c r="J13" s="2"/>
      <c r="K13" s="2"/>
      <c r="L13" s="17" t="s">
        <v>87</v>
      </c>
      <c r="M13" s="17"/>
      <c r="N13" s="6"/>
      <c r="O13" s="4"/>
      <c r="P13" s="4"/>
      <c r="Q13" s="4"/>
    </row>
    <row r="14" spans="2:17" ht="34.5" customHeight="1" x14ac:dyDescent="0.25">
      <c r="B14" s="8">
        <v>7</v>
      </c>
      <c r="C14" s="8"/>
      <c r="D14" s="6" t="s">
        <v>74</v>
      </c>
      <c r="E14" s="6" t="s">
        <v>28</v>
      </c>
      <c r="F14" s="6" t="s">
        <v>35</v>
      </c>
      <c r="G14" s="2"/>
      <c r="H14" s="4"/>
      <c r="I14" s="2"/>
      <c r="J14" s="2"/>
      <c r="K14" s="2"/>
      <c r="L14" s="14" t="s">
        <v>87</v>
      </c>
      <c r="M14" s="14"/>
      <c r="N14" s="6"/>
      <c r="O14" s="4"/>
      <c r="P14" s="4"/>
      <c r="Q14" s="4"/>
    </row>
    <row r="15" spans="2:17" ht="34.5" customHeight="1" x14ac:dyDescent="0.25">
      <c r="B15" s="8">
        <v>8</v>
      </c>
      <c r="C15" s="8"/>
      <c r="D15" s="6" t="s">
        <v>27</v>
      </c>
      <c r="E15" s="6" t="s">
        <v>18</v>
      </c>
      <c r="F15" s="6" t="s">
        <v>39</v>
      </c>
      <c r="G15" s="2"/>
      <c r="H15" s="4"/>
      <c r="I15" s="2"/>
      <c r="J15" s="2"/>
      <c r="K15" s="2"/>
      <c r="L15" s="17" t="s">
        <v>87</v>
      </c>
      <c r="M15" s="17"/>
      <c r="N15" s="6"/>
      <c r="O15" s="4"/>
      <c r="P15" s="4"/>
      <c r="Q15" s="4"/>
    </row>
    <row r="16" spans="2:17" ht="34.5" customHeight="1" x14ac:dyDescent="0.25">
      <c r="B16" s="8">
        <v>9</v>
      </c>
      <c r="C16" s="8"/>
      <c r="D16" s="6" t="s">
        <v>41</v>
      </c>
      <c r="E16" s="6" t="s">
        <v>28</v>
      </c>
      <c r="F16" s="6" t="s">
        <v>42</v>
      </c>
      <c r="G16" s="2"/>
      <c r="H16" s="4"/>
      <c r="I16" s="2"/>
      <c r="J16" s="2"/>
      <c r="K16" s="2"/>
      <c r="L16" s="20" t="s">
        <v>107</v>
      </c>
      <c r="M16" s="20"/>
      <c r="N16" s="6"/>
      <c r="O16" s="4"/>
      <c r="P16" s="4"/>
      <c r="Q16" s="4"/>
    </row>
    <row r="17" spans="2:17" ht="34.5" customHeight="1" x14ac:dyDescent="0.25">
      <c r="B17" s="8">
        <v>10</v>
      </c>
      <c r="C17" s="8"/>
      <c r="D17" s="6" t="s">
        <v>77</v>
      </c>
      <c r="E17" s="6" t="s">
        <v>28</v>
      </c>
      <c r="F17" s="6" t="s">
        <v>42</v>
      </c>
      <c r="G17" s="2"/>
      <c r="H17" s="4"/>
      <c r="I17" s="2"/>
      <c r="J17" s="2"/>
      <c r="K17" s="2"/>
      <c r="L17" s="14" t="s">
        <v>87</v>
      </c>
      <c r="M17" s="14"/>
      <c r="N17" s="6"/>
      <c r="O17" s="4"/>
      <c r="P17" s="4"/>
      <c r="Q17" s="4"/>
    </row>
    <row r="18" spans="2:17" ht="34.5" customHeight="1" x14ac:dyDescent="0.25">
      <c r="B18" s="8">
        <v>11</v>
      </c>
      <c r="C18" s="8"/>
      <c r="D18" s="6" t="s">
        <v>48</v>
      </c>
      <c r="E18" s="6" t="s">
        <v>49</v>
      </c>
      <c r="F18" s="6" t="s">
        <v>46</v>
      </c>
      <c r="G18" s="2"/>
      <c r="H18" s="4"/>
      <c r="I18" s="2"/>
      <c r="J18" s="2"/>
      <c r="K18" s="2"/>
      <c r="L18" s="14" t="s">
        <v>87</v>
      </c>
      <c r="M18" s="14"/>
      <c r="N18" s="6"/>
      <c r="O18" s="4"/>
      <c r="P18" s="4"/>
      <c r="Q18" s="4"/>
    </row>
    <row r="19" spans="2:17" ht="34.5" customHeight="1" x14ac:dyDescent="0.25">
      <c r="B19" s="8">
        <v>10</v>
      </c>
      <c r="C19" s="8" t="s">
        <v>273</v>
      </c>
      <c r="D19" s="6" t="s">
        <v>59</v>
      </c>
      <c r="E19" s="6" t="s">
        <v>18</v>
      </c>
      <c r="F19" s="13" t="s">
        <v>33</v>
      </c>
      <c r="G19" s="2"/>
      <c r="H19" s="4"/>
      <c r="I19" s="2"/>
      <c r="J19" s="2"/>
      <c r="K19" s="2"/>
      <c r="L19" s="14" t="s">
        <v>87</v>
      </c>
      <c r="M19" s="14"/>
      <c r="N19" s="6"/>
      <c r="O19" s="4"/>
      <c r="P19" s="4"/>
      <c r="Q19" s="4"/>
    </row>
  </sheetData>
  <autoFilter ref="B7:I7" xr:uid="{DE5BDC5D-1296-4730-B3C4-599B23F43809}"/>
  <pageMargins left="0.7" right="0.7" top="0.75" bottom="0.75" header="0.3" footer="0.3"/>
  <pageSetup paperSize="9" scale="74" fitToHeight="0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ORDINI EVASI (3)</vt:lpstr>
      <vt:lpstr>CLASSE A (progettazione)</vt:lpstr>
      <vt:lpstr>CLASSE B (built to print)</vt:lpstr>
      <vt:lpstr>CLASSE C (coats)</vt:lpstr>
      <vt:lpstr>CLASSE D (distributori)</vt:lpstr>
      <vt:lpstr>CLASSE E (generali stabilimento</vt:lpstr>
      <vt:lpstr>NON UTILIZZATI (&gt;2 ANNI)</vt:lpstr>
      <vt:lpstr>SEPARAZIONE SHEET OLD</vt:lpstr>
      <vt:lpstr>ITEM E SERVIZI AL CLIENTE</vt:lpstr>
      <vt:lpstr>ITEM E SERVIZI INTERNI</vt:lpstr>
      <vt:lpstr>FORNITORI IN VALUTAZIONE</vt:lpstr>
      <vt:lpstr>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spart</dc:creator>
  <cp:lastModifiedBy>Elt HUB</cp:lastModifiedBy>
  <cp:lastPrinted>2024-01-29T11:58:16Z</cp:lastPrinted>
  <dcterms:created xsi:type="dcterms:W3CDTF">2023-02-13T15:29:45Z</dcterms:created>
  <dcterms:modified xsi:type="dcterms:W3CDTF">2026-03-03T11:57:35Z</dcterms:modified>
</cp:coreProperties>
</file>